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otection lockStructure="1" workbookAlgorithmName="SHA-512" workbookHashValue="cGOIdAgHHkLAA7r9Sz5XuT/yk+LOhlvXwXp3ooBaEw1JXnganD5KsnKeSkdWq+CaJB33t+2HFd7rWzK29u0vuQ==" workbookSaltValue="YkYhGRU3qoMzbKivmTBKIg==" workbookSpinCount="100000"/>
  <bookViews>
    <workbookView xWindow="0" yWindow="0" windowWidth="0" windowHeight="0" activeTab="0" tabRatio="600"/>
  </bookViews>
  <sheets>
    <sheet name="September Attendance" sheetId="1" r:id="rId2"/>
    <sheet name="Instructions" sheetId="2" r:id="rId3"/>
  </sheets>
</workbook>
</file>

<file path=xl/sharedStrings.xml><?xml version="1.0" encoding="utf-8"?>
<sst xmlns="http://schemas.openxmlformats.org/spreadsheetml/2006/main" count="516" uniqueCount="75">
  <si>
    <t>MS SURINDER KUMAR - SEPTEMBER 2026 ATTENDANCE</t>
  </si>
  <si>
    <t>YEAR</t>
  </si>
  <si>
    <t>MONTH</t>
  </si>
  <si>
    <t>September</t>
  </si>
  <si>
    <t>Select Year &amp; Month → dates below change automatically</t>
  </si>
  <si>
    <t>Employee</t>
  </si>
  <si>
    <t>Daily Wage</t>
  </si>
  <si>
    <t>1-Sep</t>
  </si>
  <si>
    <t>2-Sep</t>
  </si>
  <si>
    <t>3-Sep</t>
  </si>
  <si>
    <t>4-Sep</t>
  </si>
  <si>
    <t>5-Sep</t>
  </si>
  <si>
    <t>6-Sep</t>
  </si>
  <si>
    <t>7-Sep</t>
  </si>
  <si>
    <t>8-Sep</t>
  </si>
  <si>
    <t>9-Sep</t>
  </si>
  <si>
    <t>10-Sep</t>
  </si>
  <si>
    <t>11-Sep</t>
  </si>
  <si>
    <t>12-Sep</t>
  </si>
  <si>
    <t>13-Sep</t>
  </si>
  <si>
    <t>14-Sep</t>
  </si>
  <si>
    <t>15-Sep</t>
  </si>
  <si>
    <t>16-Sep</t>
  </si>
  <si>
    <t>17-Sep</t>
  </si>
  <si>
    <t>18-Sep</t>
  </si>
  <si>
    <t>19-Sep</t>
  </si>
  <si>
    <t>20-Sep</t>
  </si>
  <si>
    <t>21-Sep</t>
  </si>
  <si>
    <t>22-Sep</t>
  </si>
  <si>
    <t>23-Sep</t>
  </si>
  <si>
    <t>24-Sep</t>
  </si>
  <si>
    <t>25-Sep</t>
  </si>
  <si>
    <t>26-Sep</t>
  </si>
  <si>
    <t>27-Sep</t>
  </si>
  <si>
    <t>28-Sep</t>
  </si>
  <si>
    <t>29-Sep</t>
  </si>
  <si>
    <t>30-Sep</t>
  </si>
  <si>
    <t xml:space="preserve">Total Present days </t>
  </si>
  <si>
    <t>TOTAL OT (Hrs)</t>
  </si>
  <si>
    <t>OT Wages</t>
  </si>
  <si>
    <t>TOTAL MONTHLY WAGE</t>
  </si>
  <si>
    <t>VICKRAM</t>
  </si>
  <si>
    <t>H</t>
  </si>
  <si>
    <t>P+1</t>
  </si>
  <si>
    <t>P</t>
  </si>
  <si>
    <t>X</t>
  </si>
  <si>
    <t>-</t>
  </si>
  <si>
    <t xml:space="preserve">X </t>
  </si>
  <si>
    <t>VISHU</t>
  </si>
  <si>
    <t>GURDEEP</t>
  </si>
  <si>
    <t>SAHIL</t>
  </si>
  <si>
    <t>—</t>
  </si>
  <si>
    <t>VICKY</t>
  </si>
  <si>
    <t>AMAN</t>
  </si>
  <si>
    <t>GIRDHARI</t>
  </si>
  <si>
    <t>UTTAM</t>
  </si>
  <si>
    <t>RAHUL</t>
  </si>
  <si>
    <t>OM PRAKASH</t>
  </si>
  <si>
    <t>VARUN</t>
  </si>
  <si>
    <t>GOKUL</t>
  </si>
  <si>
    <t>RAKESH SINGH</t>
  </si>
  <si>
    <t>RAKESH SHARMA</t>
  </si>
  <si>
    <t>SUDESH SINGH</t>
  </si>
  <si>
    <t>VIJAY</t>
  </si>
  <si>
    <t>TOTAL DAILY  PRESENT</t>
  </si>
  <si>
    <t>TOTAL OT (HRS)</t>
  </si>
  <si>
    <t>TOTAL DAILY WAGE</t>
  </si>
  <si>
    <t>Attendance Sheet – Year/Month Selector</t>
  </si>
  <si>
    <t>Use the YEAR and MONTH dropdowns at the top of the Attendance sheet. The date headings update automatically; existing attendance and wage formulas are retained.</t>
  </si>
  <si>
    <t>P+1 = Present + 1 OT hour</t>
  </si>
  <si>
    <t>P+2 = Present + 2 OT hours</t>
  </si>
  <si>
    <t>H+1 = Half Day + 1 OT hour</t>
  </si>
  <si>
    <t>A / — = Absent</t>
  </si>
  <si>
    <t>OT rate = Daily Wage / 8</t>
  </si>
  <si>
    <t>Monthly Wage is automatic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</si>
</sst>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76" formatCode="0%"/>
    <numFmt numFmtId="177" formatCode="_ &quot;￥&quot;* #,##0.00_ ;_ &quot;￥&quot;* \-#,##0.00_ ;_ &quot;￥&quot;* &quot;-&quot;??_ ;_ @_ "/>
    <numFmt numFmtId="178" formatCode="_ &quot;￥&quot;* #,##0_ ;_ &quot;￥&quot;* \-#,##0_ ;_ &quot;￥&quot;* &quot;-&quot;_ ;_ @_ "/>
    <numFmt numFmtId="179" formatCode="_ * #,##0.00_ ;_ * -#,##0.00_ ;_ * &quot;-&quot;??_ ;_ @_ "/>
    <numFmt numFmtId="180" formatCode="_ * #,##0_ ;_ * -#,##0_ ;_ * &quot;-&quot;_ ;_ @_ "/>
    <numFmt numFmtId="181" formatCode="_ * #,##0_ ;_ * -#,##0_ ;_ * &quot;-&quot;_ ;_ @_ "/>
  </numFmts>
  <fonts count="43" x14ac:knownFonts="43">
    <font>
      <sz val="11.0"/>
      <name val="Calibri"/>
      <family val="1"/>
    </font>
    <font>
      <sz val="11.0"/>
      <name val="Calibri"/>
      <family val="1"/>
    </font>
    <font>
      <sz val="14.0"/>
      <name val="Calibri"/>
      <family val="1"/>
      <b/>
    </font>
    <font>
      <sz val="12.0"/>
      <name val="Droid Sans"/>
      <charset val="134"/>
      <b/>
    </font>
    <font>
      <sz val="12.0"/>
      <name val="Calibri"/>
      <family val="1"/>
      <b/>
    </font>
    <font>
      <sz val="12.0"/>
      <name val="Calibri"/>
      <family val="1"/>
    </font>
    <font>
      <sz val="12.0"/>
      <color rgb="FFFFFFFF"/>
      <name val="Calibri"/>
      <family val="1"/>
      <b/>
    </font>
    <font>
      <sz val="12.0"/>
      <color rgb="FF666666"/>
      <name val="Calibri"/>
      <family val="1"/>
      <i/>
    </font>
    <font>
      <sz val="9.0"/>
      <color rgb="FF9C0006"/>
      <name val="Droid Sans"/>
      <charset val="134"/>
    </font>
    <font>
      <sz val="9.0"/>
      <color rgb="FF006100"/>
      <name val="Droid Sans"/>
      <charset val="134"/>
    </font>
    <font>
      <sz val="9.0"/>
      <color rgb="FF9C6500"/>
      <name val="Droid Sans"/>
      <charset val="134"/>
    </font>
    <font>
      <sz val="9.0"/>
      <color rgb="FFFA7D00"/>
      <name val="Droid Sans"/>
      <charset val="134"/>
      <b/>
    </font>
    <font>
      <sz val="9.0"/>
      <color rgb="FFFFFFFF"/>
      <name val="Droid Sans"/>
      <charset val="134"/>
      <b/>
    </font>
    <font>
      <sz val="9.0"/>
      <color rgb="FF7F7F7F"/>
      <name val="Droid Sans"/>
      <charset val="134"/>
      <i/>
    </font>
    <font>
      <sz val="9.0"/>
      <color rgb="FFFF0000"/>
      <name val="Droid Sans"/>
      <charset val="134"/>
    </font>
    <font>
      <sz val="9.0"/>
      <color rgb="FFFA7D00"/>
      <name val="Droid Sans"/>
      <charset val="134"/>
    </font>
    <font>
      <sz val="9.0"/>
      <color rgb="FF3F3F3F"/>
      <name val="Droid Sans"/>
      <charset val="134"/>
      <b/>
    </font>
    <font>
      <sz val="9.0"/>
      <color rgb="FF3F3F76"/>
      <name val="Droid Sans"/>
      <charset val="134"/>
    </font>
    <font>
      <sz val="18.0"/>
      <color rgb="FF1F497D"/>
      <name val="Droid Sans"/>
      <charset val="134"/>
    </font>
    <font>
      <sz val="15.0"/>
      <color rgb="FF1F497D"/>
      <name val="Droid Sans"/>
      <charset val="134"/>
      <b/>
    </font>
    <font>
      <sz val="13.0"/>
      <color rgb="FF1F497D"/>
      <name val="Droid Sans"/>
      <charset val="134"/>
      <b/>
    </font>
    <font>
      <sz val="11.0"/>
      <color rgb="FF1F497D"/>
      <name val="Droid Sans"/>
      <charset val="134"/>
      <b/>
    </font>
    <font>
      <sz val="9.0"/>
      <color rgb="FF000000"/>
      <name val="Droid Sans"/>
      <charset val="134"/>
      <b/>
    </font>
    <font>
      <sz val="9.0"/>
      <color rgb="FF000000"/>
      <name val="Droid Sans"/>
      <charset val="134"/>
    </font>
    <font>
      <sz val="9.0"/>
      <color rgb="FFFFFFFF"/>
      <name val="Droid Sans"/>
      <charset val="134"/>
    </font>
    <font>
      <sz val="9.0"/>
      <color rgb="FF9C0006"/>
      <name val="Droid Sans"/>
      <charset val="134"/>
    </font>
    <font>
      <sz val="9.0"/>
      <color rgb="FF006100"/>
      <name val="Droid Sans"/>
      <charset val="134"/>
    </font>
    <font>
      <sz val="9.0"/>
      <color rgb="FF9C6500"/>
      <name val="Droid Sans"/>
      <charset val="134"/>
    </font>
    <font>
      <sz val="9.0"/>
      <color rgb="FFFA7D00"/>
      <name val="Droid Sans"/>
      <charset val="134"/>
      <b/>
    </font>
    <font>
      <sz val="9.0"/>
      <color rgb="FFFFFFFF"/>
      <name val="Droid Sans"/>
      <charset val="134"/>
      <b/>
    </font>
    <font>
      <sz val="9.0"/>
      <color rgb="FF7F7F7F"/>
      <name val="Droid Sans"/>
      <charset val="134"/>
      <i/>
    </font>
    <font>
      <sz val="9.0"/>
      <color rgb="FFFF0000"/>
      <name val="Droid Sans"/>
      <charset val="134"/>
    </font>
    <font>
      <sz val="9.0"/>
      <color rgb="FFFA7D00"/>
      <name val="Droid Sans"/>
      <charset val="134"/>
    </font>
    <font>
      <sz val="9.0"/>
      <color rgb="FF3F3F3F"/>
      <name val="Droid Sans"/>
      <charset val="134"/>
      <b/>
    </font>
    <font>
      <sz val="9.0"/>
      <color rgb="FF3F3F76"/>
      <name val="Droid Sans"/>
      <charset val="134"/>
    </font>
    <font>
      <sz val="18.0"/>
      <color rgb="FF1F497D"/>
      <name val="Droid Sans"/>
      <charset val="134"/>
    </font>
    <font>
      <sz val="15.0"/>
      <color rgb="FF1F497D"/>
      <name val="Droid Sans"/>
      <charset val="134"/>
      <b/>
    </font>
    <font>
      <sz val="13.0"/>
      <color rgb="FF1F497D"/>
      <name val="Droid Sans"/>
      <charset val="134"/>
      <b/>
    </font>
    <font>
      <sz val="11.0"/>
      <color rgb="FF1F497D"/>
      <name val="Droid Sans"/>
      <charset val="134"/>
      <b/>
    </font>
    <font>
      <sz val="9.0"/>
      <color rgb="FF000000"/>
      <name val="Droid Sans"/>
      <charset val="134"/>
      <b/>
    </font>
    <font>
      <sz val="9.0"/>
      <color rgb="FF000000"/>
      <name val="Droid Sans"/>
      <charset val="134"/>
    </font>
    <font>
      <sz val="9.0"/>
      <color rgb="FFFFFFFF"/>
      <name val="Droid Sans"/>
      <charset val="134"/>
    </font>
    <font>
      <sz val="11.0"/>
      <name val="Calibri"/>
      <family val="1"/>
    </font>
  </fonts>
  <fills count="7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E2F0"/>
        <bgColor indexed="64"/>
      </patternFill>
    </fill>
    <fill>
      <patternFill patternType="solid">
        <fgColor rgb="FF00D9EA"/>
        <bgColor indexed="64"/>
      </patternFill>
    </fill>
    <fill>
      <patternFill patternType="solid">
        <fgColor rgb="FF538ED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6B8B7"/>
        <bgColor indexed="64"/>
      </patternFill>
    </fill>
    <fill>
      <patternFill patternType="solid">
        <fgColor rgb="FFD8E4BC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95B3D7"/>
        <bgColor indexed="64"/>
      </patternFill>
    </fill>
    <fill>
      <patternFill patternType="solid">
        <fgColor rgb="FFDA9694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B1A0C7"/>
        <bgColor indexed="64"/>
      </patternFill>
    </fill>
    <fill>
      <patternFill patternType="solid">
        <fgColor rgb="FF92CDDC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9BBB59"/>
        <bgColor indexed="64"/>
      </patternFill>
    </fill>
    <fill>
      <patternFill patternType="solid">
        <fgColor rgb="FF8064A2"/>
        <bgColor indexed="64"/>
      </patternFill>
    </fill>
    <fill>
      <patternFill patternType="solid">
        <fgColor rgb="FF4BACC6"/>
        <bgColor indexed="64"/>
      </patternFill>
    </fill>
    <fill>
      <patternFill patternType="solid">
        <fgColor rgb="FFF7964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6B8B7"/>
        <bgColor indexed="64"/>
      </patternFill>
    </fill>
    <fill>
      <patternFill patternType="solid">
        <fgColor rgb="FFD8E4BC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95B3D7"/>
        <bgColor indexed="64"/>
      </patternFill>
    </fill>
    <fill>
      <patternFill patternType="solid">
        <fgColor rgb="FFDA9694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B1A0C7"/>
        <bgColor indexed="64"/>
      </patternFill>
    </fill>
    <fill>
      <patternFill patternType="solid">
        <fgColor rgb="FF92CDDC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9BBB59"/>
        <bgColor indexed="64"/>
      </patternFill>
    </fill>
    <fill>
      <patternFill patternType="solid">
        <fgColor rgb="FF8064A2"/>
        <bgColor indexed="64"/>
      </patternFill>
    </fill>
    <fill>
      <patternFill patternType="solid">
        <fgColor rgb="FF4BACC6"/>
        <bgColor indexed="64"/>
      </patternFill>
    </fill>
    <fill>
      <patternFill patternType="solid">
        <fgColor rgb="FFF79646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rgb="FF4F81BD"/>
      </bottom>
      <diagonal/>
    </border>
    <border>
      <left/>
      <right/>
      <top/>
      <bottom style="thick">
        <color rgb="FFA7BFDE"/>
      </bottom>
      <diagonal/>
    </border>
    <border>
      <left/>
      <right/>
      <top/>
      <bottom style="thick">
        <color rgb="FF95B3D7"/>
      </bottom>
      <diagonal/>
    </border>
    <border>
      <left/>
      <right/>
      <top style="thin">
        <color rgb="FF4F81BD"/>
      </top>
      <bottom style="double">
        <color rgb="FF4F81BD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rgb="FF4F81BD"/>
      </bottom>
      <diagonal/>
    </border>
    <border>
      <left/>
      <right/>
      <top/>
      <bottom style="thick">
        <color rgb="FFA7BFDE"/>
      </bottom>
      <diagonal/>
    </border>
    <border>
      <left/>
      <right/>
      <top/>
      <bottom style="thick">
        <color rgb="FF95B3D7"/>
      </bottom>
      <diagonal/>
    </border>
    <border>
      <left/>
      <right/>
      <top style="thin">
        <color rgb="FF4F81BD"/>
      </top>
      <bottom style="double">
        <color rgb="FF4F81BD"/>
      </bottom>
      <diagonal/>
    </border>
  </borders>
  <cellStyleXfs count="1">
    <xf numFmtId="0" fontId="1" applyFont="1" fillId="0" borderId="0" applyAlignment="1">
      <alignment vertical="center"/>
    </xf>
  </cellStyleXfs>
  <cellXfs count="123">
    <xf numFmtId="0" fontId="0" fillId="0" borderId="0" applyAlignment="1" xfId="0">
      <alignment vertical="center"/>
    </xf>
    <xf numFmtId="0" fontId="1" applyFont="1" fillId="0" borderId="0" applyAlignment="1" xfId="0">
      <alignment vertical="center"/>
    </xf>
    <xf numFmtId="0" fontId="1" applyFont="1" fillId="0" borderId="0" applyAlignment="1" xfId="0"/>
    <xf numFmtId="0" fontId="1" applyFont="1" fillId="0" borderId="0" applyAlignment="1" xfId="0">
      <alignment horizontal="center" vertical="center" wrapText="1"/>
    </xf>
    <xf numFmtId="0" fontId="2" applyFont="1" fillId="0" borderId="0" applyAlignment="1" xfId="0"/>
    <xf numFmtId="0" fontId="1" applyFont="1" fillId="0" borderId="0" applyAlignment="1" xfId="0">
      <alignment vertical="top" wrapText="1"/>
    </xf>
    <xf numFmtId="0" fontId="1" applyFont="1" fillId="2" applyFill="1" borderId="0" applyAlignment="1" xfId="0"/>
    <xf numFmtId="0" fontId="3" applyFont="1" fillId="0" borderId="1" applyBorder="1" applyAlignment="1" xfId="0">
      <alignment horizontal="center" vertical="center"/>
    </xf>
    <xf numFmtId="0" fontId="4" applyFont="1" fillId="0" borderId="2" applyBorder="1" applyAlignment="1" xfId="0">
      <alignment horizontal="center" vertical="center"/>
    </xf>
    <xf numFmtId="0" fontId="4" applyFont="1" fillId="3" applyFill="1" borderId="3" applyBorder="1" applyAlignment="1" xfId="0">
      <alignment horizontal="center" vertical="center"/>
    </xf>
    <xf numFmtId="0" fontId="4" applyFont="1" fillId="4" applyFill="1" borderId="4" applyBorder="1" applyAlignment="1" xfId="0">
      <alignment horizontal="center" vertical="center"/>
    </xf>
    <xf numFmtId="0" fontId="4" applyFont="1" fillId="4" applyFill="1" borderId="5" applyBorder="1" applyAlignment="1" xfId="0">
      <alignment horizontal="center" vertical="center"/>
    </xf>
    <xf numFmtId="0" fontId="4" applyFont="1" fillId="5" applyFill="1" borderId="6" applyBorder="1" applyAlignment="1" xfId="0">
      <alignment horizontal="center" vertical="center"/>
    </xf>
    <xf numFmtId="0" fontId="5" applyFont="1" fillId="6" applyFill="1" borderId="7" applyBorder="1" applyAlignment="1" xfId="0">
      <alignment horizontal="center" vertical="center"/>
    </xf>
    <xf numFmtId="0" fontId="4" applyFont="1" fillId="2" applyFill="1" borderId="8" applyBorder="1" applyAlignment="1" xfId="0">
      <alignment horizontal="center" vertical="center"/>
    </xf>
    <xf numFmtId="0" fontId="5" applyFont="1" fillId="0" borderId="0" applyAlignment="1" xfId="0">
      <alignment vertical="center"/>
    </xf>
    <xf numFmtId="0" fontId="6" applyFont="1" fillId="7" applyFill="1" borderId="0" applyAlignment="1" xfId="0">
      <alignment horizontal="center" vertical="center"/>
    </xf>
    <xf numFmtId="0" fontId="4" applyFont="1" fillId="8" applyFill="1" borderId="0" applyAlignment="1" xfId="0">
      <alignment horizontal="center" vertical="center"/>
    </xf>
    <xf numFmtId="0" fontId="5" applyFont="1" fillId="0" borderId="0" applyAlignment="1" xfId="0"/>
    <xf numFmtId="0" fontId="7" applyFont="1" fillId="0" borderId="0" applyAlignment="1" xfId="0"/>
    <xf numFmtId="0" fontId="5" applyFont="1" fillId="2" applyFill="1" borderId="9" applyBorder="1" applyAlignment="1" xfId="0">
      <alignment vertical="center"/>
    </xf>
    <xf numFmtId="0" fontId="1" applyFont="1" fillId="0" borderId="10" applyBorder="1" applyAlignment="1" xfId="0">
      <alignment vertical="center"/>
    </xf>
    <xf numFmtId="0" fontId="4" applyFont="1" fillId="2" applyFill="1" borderId="11" applyBorder="1" applyAlignment="1" xfId="0">
      <alignment horizontal="center" vertical="center"/>
    </xf>
    <xf numFmtId="0" fontId="4" applyFont="1" fillId="0" borderId="12" applyBorder="1" applyAlignment="1" xfId="0">
      <alignment horizontal="center" vertical="center"/>
    </xf>
    <xf numFmtId="0" fontId="2" applyFont="1" fillId="0" borderId="0" applyAlignment="1" xfId="0">
      <alignment horizontal="center" vertical="center"/>
    </xf>
    <xf numFmtId="0" fontId="8" applyFont="1" fillId="9" applyFill="1" borderId="0" applyAlignment="1" xfId="0">
      <alignment vertical="center"/>
    </xf>
    <xf numFmtId="0" fontId="9" applyFont="1" fillId="10" applyFill="1" borderId="0" applyAlignment="1" xfId="0">
      <alignment vertical="center"/>
    </xf>
    <xf numFmtId="0" fontId="10" applyFont="1" fillId="11" applyFill="1" borderId="0" applyAlignment="1" xfId="0">
      <alignment vertical="center"/>
    </xf>
    <xf numFmtId="0" fontId="11" applyFont="1" fillId="12" applyFill="1" borderId="13" applyBorder="1" applyAlignment="1" xfId="0">
      <alignment vertical="center"/>
    </xf>
    <xf numFmtId="0" fontId="12" applyFont="1" fillId="13" applyFill="1" borderId="14" applyBorder="1" applyAlignment="1" xfId="0">
      <alignment vertical="center"/>
    </xf>
    <xf numFmtId="0" fontId="13" applyFont="1" fillId="0" borderId="0" applyAlignment="1" xfId="0">
      <alignment vertical="center"/>
    </xf>
    <xf numFmtId="0" fontId="14" applyFont="1" fillId="0" borderId="0" applyAlignment="1" xfId="0">
      <alignment vertical="center"/>
    </xf>
    <xf numFmtId="0" fontId="15" applyFont="1" fillId="0" borderId="15" applyBorder="1" applyAlignment="1" xfId="0">
      <alignment vertical="center"/>
    </xf>
    <xf numFmtId="0" fontId="16" applyFont="1" fillId="12" applyFill="1" borderId="16" applyBorder="1" applyAlignment="1" xfId="0">
      <alignment vertical="center"/>
    </xf>
    <xf numFmtId="0" fontId="17" applyFont="1" fillId="14" applyFill="1" borderId="17" applyBorder="1" applyAlignment="1" xfId="0">
      <alignment vertical="center"/>
    </xf>
    <xf numFmtId="0" fontId="1" applyFont="1" fillId="15" applyFill="1" borderId="18" applyBorder="1" applyAlignment="1" xfId="0">
      <alignment vertical="center"/>
    </xf>
    <xf numFmtId="0" fontId="18" applyFont="1" fillId="0" borderId="0" applyAlignment="1" xfId="0">
      <alignment vertical="center"/>
    </xf>
    <xf numFmtId="0" fontId="19" applyFont="1" fillId="0" borderId="19" applyBorder="1" applyAlignment="1" xfId="0">
      <alignment vertical="center"/>
    </xf>
    <xf numFmtId="0" fontId="20" applyFont="1" fillId="0" borderId="20" applyBorder="1" applyAlignment="1" xfId="0">
      <alignment vertical="center"/>
    </xf>
    <xf numFmtId="0" fontId="21" applyFont="1" fillId="0" borderId="21" applyBorder="1" applyAlignment="1" xfId="0">
      <alignment vertical="center"/>
    </xf>
    <xf numFmtId="0" fontId="21" applyFont="1" fillId="0" borderId="0" applyAlignment="1" xfId="0">
      <alignment vertical="center"/>
    </xf>
    <xf numFmtId="0" fontId="22" applyFont="1" fillId="0" borderId="22" applyBorder="1" applyAlignment="1" xfId="0">
      <alignment vertical="center"/>
    </xf>
    <xf numFmtId="0" fontId="23" applyFont="1" fillId="16" applyFill="1" borderId="0" applyAlignment="1" xfId="0">
      <alignment vertical="center"/>
    </xf>
    <xf numFmtId="0" fontId="23" applyFont="1" fillId="17" applyFill="1" borderId="0" applyAlignment="1" xfId="0">
      <alignment vertical="center"/>
    </xf>
    <xf numFmtId="0" fontId="23" applyFont="1" fillId="18" applyFill="1" borderId="0" applyAlignment="1" xfId="0">
      <alignment vertical="center"/>
    </xf>
    <xf numFmtId="0" fontId="23" applyFont="1" fillId="19" applyFill="1" borderId="0" applyAlignment="1" xfId="0">
      <alignment vertical="center"/>
    </xf>
    <xf numFmtId="0" fontId="23" applyFont="1" fillId="20" applyFill="1" borderId="0" applyAlignment="1" xfId="0">
      <alignment vertical="center"/>
    </xf>
    <xf numFmtId="0" fontId="23" applyFont="1" fillId="21" applyFill="1" borderId="0" applyAlignment="1" xfId="0">
      <alignment vertical="center"/>
    </xf>
    <xf numFmtId="0" fontId="23" applyFont="1" fillId="22" applyFill="1" borderId="0" applyAlignment="1" xfId="0">
      <alignment vertical="center"/>
    </xf>
    <xf numFmtId="0" fontId="23" applyFont="1" fillId="23" applyFill="1" borderId="0" applyAlignment="1" xfId="0">
      <alignment vertical="center"/>
    </xf>
    <xf numFmtId="0" fontId="23" applyFont="1" fillId="24" applyFill="1" borderId="0" applyAlignment="1" xfId="0">
      <alignment vertical="center"/>
    </xf>
    <xf numFmtId="0" fontId="23" applyFont="1" fillId="25" applyFill="1" borderId="0" applyAlignment="1" xfId="0">
      <alignment vertical="center"/>
    </xf>
    <xf numFmtId="0" fontId="23" applyFont="1" fillId="26" applyFill="1" borderId="0" applyAlignment="1" xfId="0">
      <alignment vertical="center"/>
    </xf>
    <xf numFmtId="0" fontId="23" applyFont="1" fillId="27" applyFill="1" borderId="0" applyAlignment="1" xfId="0">
      <alignment vertical="center"/>
    </xf>
    <xf numFmtId="0" fontId="24" applyFont="1" fillId="28" applyFill="1" borderId="0" applyAlignment="1" xfId="0">
      <alignment vertical="center"/>
    </xf>
    <xf numFmtId="0" fontId="24" applyFont="1" fillId="29" applyFill="1" borderId="0" applyAlignment="1" xfId="0">
      <alignment vertical="center"/>
    </xf>
    <xf numFmtId="0" fontId="24" applyFont="1" fillId="30" applyFill="1" borderId="0" applyAlignment="1" xfId="0">
      <alignment vertical="center"/>
    </xf>
    <xf numFmtId="0" fontId="24" applyFont="1" fillId="31" applyFill="1" borderId="0" applyAlignment="1" xfId="0">
      <alignment vertical="center"/>
    </xf>
    <xf numFmtId="0" fontId="24" applyFont="1" fillId="32" applyFill="1" borderId="0" applyAlignment="1" xfId="0">
      <alignment vertical="center"/>
    </xf>
    <xf numFmtId="0" fontId="24" applyFont="1" fillId="33" applyFill="1" borderId="0" applyAlignment="1" xfId="0">
      <alignment vertical="center"/>
    </xf>
    <xf numFmtId="0" fontId="24" applyFont="1" fillId="34" applyFill="1" borderId="0" applyAlignment="1" xfId="0">
      <alignment vertical="center"/>
    </xf>
    <xf numFmtId="0" fontId="24" applyFont="1" fillId="35" applyFill="1" borderId="0" applyAlignment="1" xfId="0">
      <alignment vertical="center"/>
    </xf>
    <xf numFmtId="0" fontId="24" applyFont="1" fillId="36" applyFill="1" borderId="0" applyAlignment="1" xfId="0">
      <alignment vertical="center"/>
    </xf>
    <xf numFmtId="0" fontId="24" applyFont="1" fillId="37" applyFill="1" borderId="0" applyAlignment="1" xfId="0">
      <alignment vertical="center"/>
    </xf>
    <xf numFmtId="0" fontId="24" applyFont="1" fillId="38" applyFill="1" borderId="0" applyAlignment="1" xfId="0">
      <alignment vertical="center"/>
    </xf>
    <xf numFmtId="0" fontId="24" applyFont="1" fillId="39" applyFill="1" borderId="0" applyAlignment="1" xfId="0">
      <alignment vertical="center"/>
    </xf>
    <xf numFmtId="176" applyNumberFormat="1" fontId="1" applyFont="1" fillId="0" borderId="0" applyAlignment="1" xfId="0">
      <alignment vertical="center"/>
    </xf>
    <xf numFmtId="177" applyNumberFormat="1" fontId="1" applyFont="1" fillId="0" borderId="0" applyAlignment="1" xfId="0">
      <alignment vertical="center"/>
    </xf>
    <xf numFmtId="178" applyNumberFormat="1" fontId="1" applyFont="1" fillId="0" borderId="0" applyAlignment="1" xfId="0">
      <alignment vertical="center"/>
    </xf>
    <xf numFmtId="179" applyNumberFormat="1" fontId="1" applyFont="1" fillId="0" borderId="0" applyAlignment="1" xfId="0">
      <alignment vertical="center"/>
    </xf>
    <xf numFmtId="180" applyNumberFormat="1" fontId="1" applyFont="1" fillId="0" borderId="0" applyAlignment="1" xfId="0">
      <alignment vertical="center"/>
    </xf>
    <xf numFmtId="0" fontId="1" applyFont="1" fillId="0" borderId="0" applyAlignment="1" xfId="0">
      <alignment vertical="center"/>
    </xf>
    <xf numFmtId="0" fontId="1" applyFont="1" fillId="0" borderId="0" applyAlignment="1" xfId="0">
      <alignment vertical="center"/>
    </xf>
    <xf numFmtId="0" fontId="1" applyFont="1" fillId="0" borderId="0" applyAlignment="1" xfId="0"/>
    <xf numFmtId="0" fontId="2" applyFont="1" fillId="0" borderId="0" applyAlignment="1" xfId="0">
      <alignment horizontal="center" vertical="center"/>
    </xf>
    <xf numFmtId="0" fontId="25" applyFont="1" fillId="40" applyFill="1" borderId="0" applyAlignment="1" xfId="0">
      <alignment vertical="center"/>
    </xf>
    <xf numFmtId="0" fontId="26" applyFont="1" fillId="41" applyFill="1" borderId="0" applyAlignment="1" xfId="0">
      <alignment vertical="center"/>
    </xf>
    <xf numFmtId="0" fontId="27" applyFont="1" fillId="42" applyFill="1" borderId="0" applyAlignment="1" xfId="0">
      <alignment vertical="center"/>
    </xf>
    <xf numFmtId="0" fontId="28" applyFont="1" fillId="43" applyFill="1" borderId="23" applyBorder="1" applyAlignment="1" xfId="0">
      <alignment vertical="center"/>
    </xf>
    <xf numFmtId="0" fontId="29" applyFont="1" fillId="44" applyFill="1" borderId="24" applyBorder="1" applyAlignment="1" xfId="0">
      <alignment vertical="center"/>
    </xf>
    <xf numFmtId="0" fontId="30" applyFont="1" fillId="0" borderId="0" applyAlignment="1" xfId="0">
      <alignment vertical="center"/>
    </xf>
    <xf numFmtId="0" fontId="31" applyFont="1" fillId="0" borderId="0" applyAlignment="1" xfId="0">
      <alignment vertical="center"/>
    </xf>
    <xf numFmtId="0" fontId="32" applyFont="1" fillId="0" borderId="25" applyBorder="1" applyAlignment="1" xfId="0">
      <alignment vertical="center"/>
    </xf>
    <xf numFmtId="0" fontId="33" applyFont="1" fillId="43" applyFill="1" borderId="26" applyBorder="1" applyAlignment="1" xfId="0">
      <alignment vertical="center"/>
    </xf>
    <xf numFmtId="0" fontId="34" applyFont="1" fillId="45" applyFill="1" borderId="27" applyBorder="1" applyAlignment="1" xfId="0">
      <alignment vertical="center"/>
    </xf>
    <xf numFmtId="0" fontId="1" applyFont="1" fillId="46" applyFill="1" borderId="28" applyBorder="1" applyAlignment="1" xfId="0">
      <alignment vertical="center"/>
    </xf>
    <xf numFmtId="0" fontId="35" applyFont="1" fillId="0" borderId="0" applyAlignment="1" xfId="0">
      <alignment vertical="center"/>
    </xf>
    <xf numFmtId="0" fontId="36" applyFont="1" fillId="0" borderId="29" applyBorder="1" applyAlignment="1" xfId="0">
      <alignment vertical="center"/>
    </xf>
    <xf numFmtId="0" fontId="37" applyFont="1" fillId="0" borderId="30" applyBorder="1" applyAlignment="1" xfId="0">
      <alignment vertical="center"/>
    </xf>
    <xf numFmtId="0" fontId="38" applyFont="1" fillId="0" borderId="31" applyBorder="1" applyAlignment="1" xfId="0">
      <alignment vertical="center"/>
    </xf>
    <xf numFmtId="0" fontId="38" applyFont="1" fillId="0" borderId="0" applyAlignment="1" xfId="0">
      <alignment vertical="center"/>
    </xf>
    <xf numFmtId="0" fontId="39" applyFont="1" fillId="0" borderId="32" applyBorder="1" applyAlignment="1" xfId="0">
      <alignment vertical="center"/>
    </xf>
    <xf numFmtId="0" fontId="40" applyFont="1" fillId="47" applyFill="1" borderId="0" applyAlignment="1" xfId="0">
      <alignment vertical="center"/>
    </xf>
    <xf numFmtId="0" fontId="40" applyFont="1" fillId="48" applyFill="1" borderId="0" applyAlignment="1" xfId="0">
      <alignment vertical="center"/>
    </xf>
    <xf numFmtId="0" fontId="40" applyFont="1" fillId="49" applyFill="1" borderId="0" applyAlignment="1" xfId="0">
      <alignment vertical="center"/>
    </xf>
    <xf numFmtId="0" fontId="40" applyFont="1" fillId="50" applyFill="1" borderId="0" applyAlignment="1" xfId="0">
      <alignment vertical="center"/>
    </xf>
    <xf numFmtId="0" fontId="40" applyFont="1" fillId="51" applyFill="1" borderId="0" applyAlignment="1" xfId="0">
      <alignment vertical="center"/>
    </xf>
    <xf numFmtId="0" fontId="40" applyFont="1" fillId="52" applyFill="1" borderId="0" applyAlignment="1" xfId="0">
      <alignment vertical="center"/>
    </xf>
    <xf numFmtId="0" fontId="40" applyFont="1" fillId="53" applyFill="1" borderId="0" applyAlignment="1" xfId="0">
      <alignment vertical="center"/>
    </xf>
    <xf numFmtId="0" fontId="40" applyFont="1" fillId="54" applyFill="1" borderId="0" applyAlignment="1" xfId="0">
      <alignment vertical="center"/>
    </xf>
    <xf numFmtId="0" fontId="40" applyFont="1" fillId="55" applyFill="1" borderId="0" applyAlignment="1" xfId="0">
      <alignment vertical="center"/>
    </xf>
    <xf numFmtId="0" fontId="40" applyFont="1" fillId="56" applyFill="1" borderId="0" applyAlignment="1" xfId="0">
      <alignment vertical="center"/>
    </xf>
    <xf numFmtId="0" fontId="40" applyFont="1" fillId="57" applyFill="1" borderId="0" applyAlignment="1" xfId="0">
      <alignment vertical="center"/>
    </xf>
    <xf numFmtId="0" fontId="40" applyFont="1" fillId="58" applyFill="1" borderId="0" applyAlignment="1" xfId="0">
      <alignment vertical="center"/>
    </xf>
    <xf numFmtId="0" fontId="41" applyFont="1" fillId="59" applyFill="1" borderId="0" applyAlignment="1" xfId="0">
      <alignment vertical="center"/>
    </xf>
    <xf numFmtId="0" fontId="41" applyFont="1" fillId="60" applyFill="1" borderId="0" applyAlignment="1" xfId="0">
      <alignment vertical="center"/>
    </xf>
    <xf numFmtId="0" fontId="41" applyFont="1" fillId="61" applyFill="1" borderId="0" applyAlignment="1" xfId="0">
      <alignment vertical="center"/>
    </xf>
    <xf numFmtId="0" fontId="41" applyFont="1" fillId="62" applyFill="1" borderId="0" applyAlignment="1" xfId="0">
      <alignment vertical="center"/>
    </xf>
    <xf numFmtId="0" fontId="41" applyFont="1" fillId="63" applyFill="1" borderId="0" applyAlignment="1" xfId="0">
      <alignment vertical="center"/>
    </xf>
    <xf numFmtId="0" fontId="41" applyFont="1" fillId="64" applyFill="1" borderId="0" applyAlignment="1" xfId="0">
      <alignment vertical="center"/>
    </xf>
    <xf numFmtId="0" fontId="41" applyFont="1" fillId="65" applyFill="1" borderId="0" applyAlignment="1" xfId="0">
      <alignment vertical="center"/>
    </xf>
    <xf numFmtId="0" fontId="41" applyFont="1" fillId="66" applyFill="1" borderId="0" applyAlignment="1" xfId="0">
      <alignment vertical="center"/>
    </xf>
    <xf numFmtId="0" fontId="41" applyFont="1" fillId="67" applyFill="1" borderId="0" applyAlignment="1" xfId="0">
      <alignment vertical="center"/>
    </xf>
    <xf numFmtId="0" fontId="41" applyFont="1" fillId="68" applyFill="1" borderId="0" applyAlignment="1" xfId="0">
      <alignment vertical="center"/>
    </xf>
    <xf numFmtId="0" fontId="41" applyFont="1" fillId="69" applyFill="1" borderId="0" applyAlignment="1" xfId="0">
      <alignment vertical="center"/>
    </xf>
    <xf numFmtId="0" fontId="41" applyFont="1" fillId="70" applyFill="1" borderId="0" applyAlignment="1" xfId="0">
      <alignment vertical="center"/>
    </xf>
    <xf numFmtId="176" applyNumberFormat="1" fontId="1" applyFont="1" fillId="0" borderId="0" applyAlignment="1" xfId="0">
      <alignment vertical="center"/>
    </xf>
    <xf numFmtId="177" applyNumberFormat="1" fontId="1" applyFont="1" fillId="0" borderId="0" applyAlignment="1" xfId="0">
      <alignment vertical="center"/>
    </xf>
    <xf numFmtId="178" applyNumberFormat="1" fontId="1" applyFont="1" fillId="0" borderId="0" applyAlignment="1" xfId="0">
      <alignment vertical="center"/>
    </xf>
    <xf numFmtId="179" applyNumberFormat="1" fontId="1" applyFont="1" fillId="0" borderId="0" applyAlignment="1" xfId="0">
      <alignment vertical="center"/>
    </xf>
    <xf numFmtId="181" applyNumberFormat="1" fontId="1" applyFont="1" fillId="0" borderId="0" applyAlignment="1" xfId="0">
      <alignment vertical="center"/>
    </xf>
    <xf numFmtId="0" fontId="1" applyFont="1" fillId="0" borderId="0" applyAlignment="1" xfId="0">
      <alignment vertical="center"/>
    </xf>
    <xf numFmtId="0" fontId="0" fillId="0" borderId="0" applyAlignment="1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outlinePr showOutlineSymbols="1"/>
  </sheetPr>
  <dimension ref="A1:AK31"/>
  <sheetViews>
    <sheetView tabSelected="1" zoomScale="45" zoomScaleNormal="45" topLeftCell="A1" workbookViewId="0">
      <pane xSplit="1" ySplit="1" topLeftCell="AJ2" activePane="bottomRight" state="frozen"/>
      <selection activeCell="AE21" activeCellId="0" sqref="AE21"/>
      <selection pane="topRight" activeCell="AE21" activeCellId="0" sqref="AE21"/>
      <selection pane="bottomLeft" activeCell="AE21" activeCellId="0" sqref="AE21"/>
      <selection pane="bottomRight" activeCell="AE21" activeCellId="0" sqref="AE21"/>
    </sheetView>
  </sheetViews>
  <sheetFormatPr defaultRowHeight="15.0" defaultColWidth="15.5" x14ac:dyDescent="0.15"/>
  <cols>
    <col min="1" max="1" width="36.375" customWidth="1" style="2"/>
    <col min="2" max="2" width="24.375" customWidth="1" style="2"/>
    <col min="3" max="3" width="16.375" customWidth="1" style="2"/>
    <col min="4" max="4" width="21.25" customWidth="1" style="2"/>
    <col min="5" max="32" width="16.375" customWidth="1" style="2"/>
    <col min="33" max="33" width="13.0" customWidth="1" style="2"/>
    <col min="34" max="34" width="24.75" customWidth="1" style="2"/>
    <col min="35" max="36" width="30.375" customWidth="1" style="2"/>
    <col min="37" max="37" width="33.75" customWidth="1" style="2"/>
  </cols>
  <sheetData>
    <row r="1" spans="1:37" ht="19.5" customHeight="1" x14ac:dyDescent="0.15">
      <c r="A1" s="74" t="s">
        <f>"MS SURINDER KUMAR - "&amp;UPPER(TEXT(DATE($B$2,MATCH($D$2,{"January","February","March","April","May","June","July","August","September","October","November","December"},0),1),"mmmm yyyy"))&amp;" ATTENDANCE"</f>
        <v>0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</row>
    <row r="2" spans="1:37" s="15" customFormat="1" ht="24.0" customHeight="1" x14ac:dyDescent="0.15">
      <c r="A2" s="16" t="s">
        <v>1</v>
      </c>
      <c r="B2" s="17">
        <v>2026.0</v>
      </c>
      <c r="C2" s="16" t="s">
        <v>2</v>
      </c>
      <c r="D2" s="17" t="s">
        <v>3</v>
      </c>
      <c r="E2" s="18"/>
      <c r="F2" s="19" t="s">
        <v>4</v>
      </c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</row>
    <row r="3" spans="3:32" x14ac:dyDescent="0.15"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</row>
    <row r="4" spans="1:37" s="15" customFormat="1" ht="15.6" customHeight="1" x14ac:dyDescent="0.15">
      <c r="A4" s="12" t="s">
        <v>5</v>
      </c>
      <c r="B4" s="12" t="s">
        <v>6</v>
      </c>
      <c r="C4" s="12" t="s">
        <f>IF(1&lt;=DAY(DATE($B$2,MATCH($D$2,{"January","February","March","April","May","June","July","August","September","October","November","December"},0)+1,0)),1&amp;"-"&amp;TEXT(DATE($B$2,MATCH($D$2,{"January","February","March","April","May","June","July","August","September","October","November","December"},0),1),"mmm"),"")</f>
        <v>7</v>
      </c>
      <c r="D4" s="12" t="s">
        <f>IF(2&lt;=DAY(DATE($B$2,MATCH($D$2,{"January","February","March","April","May","June","July","August","September","October","November","December"},0)+1,0)),2&amp;"-"&amp;TEXT(DATE($B$2,MATCH($D$2,{"January","February","March","April","May","June","July","August","September","October","November","December"},0),2),"mmm"),"")</f>
        <v>8</v>
      </c>
      <c r="E4" s="12" t="s">
        <f>IF(3&lt;=DAY(DATE($B$2,MATCH($D$2,{"January","February","March","April","May","June","July","August","September","October","November","December"},0)+1,0)),3&amp;"-"&amp;TEXT(DATE($B$2,MATCH($D$2,{"January","February","March","April","May","June","July","August","September","October","November","December"},0),3),"mmm"),"")</f>
        <v>9</v>
      </c>
      <c r="F4" s="12" t="s">
        <f>IF(4&lt;=DAY(DATE($B$2,MATCH($D$2,{"January","February","March","April","May","June","July","August","September","October","November","December"},0)+1,0)),4&amp;"-"&amp;TEXT(DATE($B$2,MATCH($D$2,{"January","February","March","April","May","June","July","August","September","October","November","December"},0),4),"mmm"),"")</f>
        <v>10</v>
      </c>
      <c r="G4" s="12" t="s">
        <f>IF(5&lt;=DAY(DATE($B$2,MATCH($D$2,{"January","February","March","April","May","June","July","August","September","October","November","December"},0)+1,0)),5&amp;"-"&amp;TEXT(DATE($B$2,MATCH($D$2,{"January","February","March","April","May","June","July","August","September","October","November","December"},0),5),"mmm"),"")</f>
        <v>11</v>
      </c>
      <c r="H4" s="12" t="s">
        <f>IF(6&lt;=DAY(DATE($B$2,MATCH($D$2,{"January","February","March","April","May","June","July","August","September","October","November","December"},0)+1,0)),6&amp;"-"&amp;TEXT(DATE($B$2,MATCH($D$2,{"January","February","March","April","May","June","July","August","September","October","November","December"},0),6),"mmm"),"")</f>
        <v>12</v>
      </c>
      <c r="I4" s="12" t="s">
        <f>IF(7&lt;=DAY(DATE($B$2,MATCH($D$2,{"January","February","March","April","May","June","July","August","September","October","November","December"},0)+1,0)),7&amp;"-"&amp;TEXT(DATE($B$2,MATCH($D$2,{"January","February","March","April","May","June","July","August","September","October","November","December"},0),7),"mmm"),"")</f>
        <v>13</v>
      </c>
      <c r="J4" s="12" t="s">
        <f>IF(8&lt;=DAY(DATE($B$2,MATCH($D$2,{"January","February","March","April","May","June","July","August","September","October","November","December"},0)+1,0)),8&amp;"-"&amp;TEXT(DATE($B$2,MATCH($D$2,{"January","February","March","April","May","June","July","August","September","October","November","December"},0),8),"mmm"),"")</f>
        <v>14</v>
      </c>
      <c r="K4" s="12" t="s">
        <f>IF(9&lt;=DAY(DATE($B$2,MATCH($D$2,{"January","February","March","April","May","June","July","August","September","October","November","December"},0)+1,0)),9&amp;"-"&amp;TEXT(DATE($B$2,MATCH($D$2,{"January","February","March","April","May","June","July","August","September","October","November","December"},0),9),"mmm"),"")</f>
        <v>15</v>
      </c>
      <c r="L4" s="12" t="s">
        <f>IF(10&lt;=DAY(DATE($B$2,MATCH($D$2,{"January","February","March","April","May","June","July","August","September","October","November","December"},0)+1,0)),10&amp;"-"&amp;TEXT(DATE($B$2,MATCH($D$2,{"January","February","March","April","May","June","July","August","September","October","November","December"},0),10),"mmm"),"")</f>
        <v>16</v>
      </c>
      <c r="M4" s="12" t="s">
        <f>IF(11&lt;=DAY(DATE($B$2,MATCH($D$2,{"January","February","March","April","May","June","July","August","September","October","November","December"},0)+1,0)),11&amp;"-"&amp;TEXT(DATE($B$2,MATCH($D$2,{"January","February","March","April","May","June","July","August","September","October","November","December"},0),11),"mmm"),"")</f>
        <v>17</v>
      </c>
      <c r="N4" s="12" t="s">
        <f>IF(12&lt;=DAY(DATE($B$2,MATCH($D$2,{"January","February","March","April","May","June","July","August","September","October","November","December"},0)+1,0)),12&amp;"-"&amp;TEXT(DATE($B$2,MATCH($D$2,{"January","February","March","April","May","June","July","August","September","October","November","December"},0),12),"mmm"),"")</f>
        <v>18</v>
      </c>
      <c r="O4" s="12" t="s">
        <f>IF(13&lt;=DAY(DATE($B$2,MATCH($D$2,{"January","February","March","April","May","June","July","August","September","October","November","December"},0)+1,0)),13&amp;"-"&amp;TEXT(DATE($B$2,MATCH($D$2,{"January","February","March","April","May","June","July","August","September","October","November","December"},0),13),"mmm"),"")</f>
        <v>19</v>
      </c>
      <c r="P4" s="12" t="s">
        <f>IF(14&lt;=DAY(DATE($B$2,MATCH($D$2,{"January","February","March","April","May","June","July","August","September","October","November","December"},0)+1,0)),14&amp;"-"&amp;TEXT(DATE($B$2,MATCH($D$2,{"January","February","March","April","May","June","July","August","September","October","November","December"},0),14),"mmm"),"")</f>
        <v>20</v>
      </c>
      <c r="Q4" s="12" t="s">
        <f>IF(15&lt;=DAY(DATE($B$2,MATCH($D$2,{"January","February","March","April","May","June","July","August","September","October","November","December"},0)+1,0)),15&amp;"-"&amp;TEXT(DATE($B$2,MATCH($D$2,{"January","February","March","April","May","June","July","August","September","October","November","December"},0),15),"mmm"),"")</f>
        <v>21</v>
      </c>
      <c r="R4" s="12" t="s">
        <f>IF(16&lt;=DAY(DATE($B$2,MATCH($D$2,{"January","February","March","April","May","June","July","August","September","October","November","December"},0)+1,0)),16&amp;"-"&amp;TEXT(DATE($B$2,MATCH($D$2,{"January","February","March","April","May","June","July","August","September","October","November","December"},0),16),"mmm"),"")</f>
        <v>22</v>
      </c>
      <c r="S4" s="12" t="s">
        <f>IF(17&lt;=DAY(DATE($B$2,MATCH($D$2,{"January","February","March","April","May","June","July","August","September","October","November","December"},0)+1,0)),17&amp;"-"&amp;TEXT(DATE($B$2,MATCH($D$2,{"January","February","March","April","May","June","July","August","September","October","November","December"},0),17),"mmm"),"")</f>
        <v>23</v>
      </c>
      <c r="T4" s="12" t="s">
        <f>IF(18&lt;=DAY(DATE($B$2,MATCH($D$2,{"January","February","March","April","May","June","July","August","September","October","November","December"},0)+1,0)),18&amp;"-"&amp;TEXT(DATE($B$2,MATCH($D$2,{"January","February","March","April","May","June","July","August","September","October","November","December"},0),18),"mmm"),"")</f>
        <v>24</v>
      </c>
      <c r="U4" s="12" t="s">
        <f>IF(19&lt;=DAY(DATE($B$2,MATCH($D$2,{"January","February","March","April","May","June","July","August","September","October","November","December"},0)+1,0)),19&amp;"-"&amp;TEXT(DATE($B$2,MATCH($D$2,{"January","February","March","April","May","June","July","August","September","October","November","December"},0),19),"mmm"),"")</f>
        <v>25</v>
      </c>
      <c r="V4" s="12" t="s">
        <f>IF(20&lt;=DAY(DATE($B$2,MATCH($D$2,{"January","February","March","April","May","June","July","August","September","October","November","December"},0)+1,0)),20&amp;"-"&amp;TEXT(DATE($B$2,MATCH($D$2,{"January","February","March","April","May","June","July","August","September","October","November","December"},0),20),"mmm"),"")</f>
        <v>26</v>
      </c>
      <c r="W4" s="12" t="s">
        <f>IF(21&lt;=DAY(DATE($B$2,MATCH($D$2,{"January","February","March","April","May","June","July","August","September","October","November","December"},0)+1,0)),21&amp;"-"&amp;TEXT(DATE($B$2,MATCH($D$2,{"January","February","March","April","May","June","July","August","September","October","November","December"},0),21),"mmm"),"")</f>
        <v>27</v>
      </c>
      <c r="X4" s="12" t="s">
        <f>IF(22&lt;=DAY(DATE($B$2,MATCH($D$2,{"January","February","March","April","May","June","July","August","September","October","November","December"},0)+1,0)),22&amp;"-"&amp;TEXT(DATE($B$2,MATCH($D$2,{"January","February","March","April","May","June","July","August","September","October","November","December"},0),22),"mmm"),"")</f>
        <v>28</v>
      </c>
      <c r="Y4" s="12" t="s">
        <f>IF(23&lt;=DAY(DATE($B$2,MATCH($D$2,{"January","February","March","April","May","June","July","August","September","October","November","December"},0)+1,0)),23&amp;"-"&amp;TEXT(DATE($B$2,MATCH($D$2,{"January","February","March","April","May","June","July","August","September","October","November","December"},0),23),"mmm"),"")</f>
        <v>29</v>
      </c>
      <c r="Z4" s="12" t="s">
        <f>IF(24&lt;=DAY(DATE($B$2,MATCH($D$2,{"January","February","March","April","May","June","July","August","September","October","November","December"},0)+1,0)),24&amp;"-"&amp;TEXT(DATE($B$2,MATCH($D$2,{"January","February","March","April","May","June","July","August","September","October","November","December"},0),24),"mmm"),"")</f>
        <v>30</v>
      </c>
      <c r="AA4" s="12" t="s">
        <f>IF(25&lt;=DAY(DATE($B$2,MATCH($D$2,{"January","February","March","April","May","June","July","August","September","October","November","December"},0)+1,0)),25&amp;"-"&amp;TEXT(DATE($B$2,MATCH($D$2,{"January","February","March","April","May","June","July","August","September","October","November","December"},0),25),"mmm"),"")</f>
        <v>31</v>
      </c>
      <c r="AB4" s="12" t="s">
        <f>IF(26&lt;=DAY(DATE($B$2,MATCH($D$2,{"January","February","March","April","May","June","July","August","September","October","November","December"},0)+1,0)),26&amp;"-"&amp;TEXT(DATE($B$2,MATCH($D$2,{"January","February","March","April","May","June","July","August","September","October","November","December"},0),26),"mmm"),"")</f>
        <v>32</v>
      </c>
      <c r="AC4" s="12" t="s">
        <f>IF(27&lt;=DAY(DATE($B$2,MATCH($D$2,{"January","February","March","April","May","June","July","August","September","October","November","December"},0)+1,0)),27&amp;"-"&amp;TEXT(DATE($B$2,MATCH($D$2,{"January","February","March","April","May","June","July","August","September","October","November","December"},0),27),"mmm"),"")</f>
        <v>33</v>
      </c>
      <c r="AD4" s="12" t="s">
        <f>IF(28&lt;=DAY(DATE($B$2,MATCH($D$2,{"January","February","March","April","May","June","July","August","September","October","November","December"},0)+1,0)),28&amp;"-"&amp;TEXT(DATE($B$2,MATCH($D$2,{"January","February","March","April","May","June","July","August","September","October","November","December"},0),28),"mmm"),"")</f>
        <v>34</v>
      </c>
      <c r="AE4" s="12" t="s">
        <f>IF(29&lt;=DAY(DATE($B$2,MATCH($D$2,{"January","February","March","April","May","June","July","August","September","October","November","December"},0)+1,0)),29&amp;"-"&amp;TEXT(DATE($B$2,MATCH($D$2,{"January","February","March","April","May","June","July","August","September","October","November","December"},0),29),"mmm"),"")</f>
        <v>35</v>
      </c>
      <c r="AF4" s="12" t="s">
        <f>IF(30&lt;=DAY(DATE($B$2,MATCH($D$2,{"January","February","March","April","May","June","July","August","September","October","November","December"},0)+1,0)),30&amp;"-"&amp;TEXT(DATE($B$2,MATCH($D$2,{"January","February","March","April","May","June","July","August","September","October","November","December"},0),30),"mmm"),"")</f>
        <v>36</v>
      </c>
      <c r="AG4" s="13">
        <f>IF(31&lt;=DAY(DATE($B$2,MATCH($D$2,{"January","February","March","April","May","June","July","August","September","October","November","December"},0)+1,0)),31&amp;"-"&amp;TEXT(DATE($B$2,MATCH($D$2,{"January","February","March","April","May","June","July","August","September","October","November","December"},0),31),"mmm"),"")</f>
        <v/>
      </c>
      <c r="AH4" s="14" t="s">
        <v>37</v>
      </c>
      <c r="AI4" s="14" t="s">
        <v>38</v>
      </c>
      <c r="AJ4" s="14" t="s">
        <v>39</v>
      </c>
      <c r="AK4" s="22" t="s">
        <v>40</v>
      </c>
    </row>
    <row r="5" spans="1:37" ht="15.6" customHeight="1" x14ac:dyDescent="0.15">
      <c r="A5" s="7" t="s">
        <v>41</v>
      </c>
      <c r="B5" s="8">
        <v>600.0</v>
      </c>
      <c r="C5" s="8" t="s">
        <v>42</v>
      </c>
      <c r="D5" s="8" t="s">
        <v>43</v>
      </c>
      <c r="E5" s="8" t="s">
        <v>44</v>
      </c>
      <c r="F5" s="8" t="s">
        <v>45</v>
      </c>
      <c r="G5" s="8" t="s">
        <v>46</v>
      </c>
      <c r="H5" s="8" t="s">
        <v>45</v>
      </c>
      <c r="I5" s="8" t="s">
        <v>44</v>
      </c>
      <c r="J5" s="8" t="s">
        <v>43</v>
      </c>
      <c r="K5" s="8" t="s">
        <v>43</v>
      </c>
      <c r="L5" s="8" t="s">
        <v>47</v>
      </c>
      <c r="M5" s="8" t="s">
        <v>46</v>
      </c>
      <c r="N5" s="8" t="s">
        <v>44</v>
      </c>
      <c r="O5" s="8" t="s">
        <v>44</v>
      </c>
      <c r="P5" s="8" t="s">
        <v>44</v>
      </c>
      <c r="Q5" s="8" t="s">
        <v>46</v>
      </c>
      <c r="R5" s="8" t="s">
        <v>44</v>
      </c>
      <c r="S5" s="8" t="s">
        <v>44</v>
      </c>
      <c r="T5" s="8" t="s">
        <v>44</v>
      </c>
      <c r="U5" s="8" t="s">
        <v>44</v>
      </c>
      <c r="V5" s="8" t="s">
        <v>45</v>
      </c>
      <c r="W5" s="8" t="s">
        <v>46</v>
      </c>
      <c r="X5" s="8" t="s">
        <v>46</v>
      </c>
      <c r="Y5" s="8" t="s">
        <v>46</v>
      </c>
      <c r="Z5" s="8" t="s">
        <v>44</v>
      </c>
      <c r="AA5" s="8" t="s">
        <v>44</v>
      </c>
      <c r="AB5" s="8" t="s">
        <v>44</v>
      </c>
      <c r="AC5" s="8" t="s">
        <v>46</v>
      </c>
      <c r="AD5" s="8" t="s">
        <v>44</v>
      </c>
      <c r="AE5" s="8" t="s">
        <v>42</v>
      </c>
      <c r="AF5" s="8"/>
      <c r="AG5" s="8"/>
      <c r="AH5" s="8">
        <f>COUNTIF(C5:AF5,"P*")+COUNTIF(C5:AF5,"H*")*0.5</f>
        <v>17.0</v>
      </c>
      <c r="AI5" s="9">
        <f>COUNTIF(C5:AG5,"P+1")*1+COUNTIF(C5:AG5,"H+1")*1+COUNTIF(C5:AF5,"P+2")*2+COUNTIF(C5:AF5,"H+2")*2+COUNTIF(C5:AF5,"P+3")*3+COUNTIF(C5:AF5,"H+3")*3+COUNTIF(C5:AF5,"P+4")*4+COUNTIF(C5:AF5,"H+4")*4+COUNTIF(C5:AF5,"P+5")*5+COUNTIF(C5:AF5,"H+5")*5+COUNTIF(C5:AF5,"P+6")*6+COUNTIF(C5:AF5,"H+6")*6+COUNTIF(C5:AF5,"P+7")*7+COUNTIF(C5:AF5,"H+7")*7+COUNTIF(C5:AF5,"P+8")*8+COUNTIF(C5:AF5,"H+8")*8+COUNTIF(C5:AF5,"P+9")*9+COUNTIF(C5:AF5,"H+9")*9+COUNTIF(C5:AF5,"P+10")*10+COUNTIF(C5:AF5,"H+10")*10</f>
        <v>3</v>
      </c>
      <c r="AJ5" s="9">
        <f>ROUND(AG5*B5+AI5*(B5/8),0)</f>
        <v>225</v>
      </c>
      <c r="AK5" s="23">
        <f>AH5*B5+AJ5</f>
        <v>10425</v>
      </c>
    </row>
    <row r="6" spans="1:37" ht="15.6" customHeight="1" x14ac:dyDescent="0.15">
      <c r="A6" s="8" t="s">
        <v>48</v>
      </c>
      <c r="B6" s="8">
        <v>600.0</v>
      </c>
      <c r="C6" s="8" t="s">
        <v>44</v>
      </c>
      <c r="D6" s="8" t="s">
        <v>43</v>
      </c>
      <c r="E6" s="8" t="s">
        <v>44</v>
      </c>
      <c r="F6" s="8" t="s">
        <v>45</v>
      </c>
      <c r="G6" s="8" t="s">
        <v>44</v>
      </c>
      <c r="H6" s="8" t="s">
        <v>45</v>
      </c>
      <c r="I6" s="8" t="s">
        <v>44</v>
      </c>
      <c r="J6" s="8" t="s">
        <v>43</v>
      </c>
      <c r="K6" s="8" t="s">
        <v>43</v>
      </c>
      <c r="L6" s="8" t="s">
        <v>47</v>
      </c>
      <c r="M6" s="8" t="s">
        <v>43</v>
      </c>
      <c r="N6" s="8" t="s">
        <v>44</v>
      </c>
      <c r="O6" s="8" t="s">
        <v>44</v>
      </c>
      <c r="P6" s="8" t="s">
        <v>44</v>
      </c>
      <c r="Q6" s="8" t="s">
        <v>44</v>
      </c>
      <c r="R6" s="8" t="s">
        <v>44</v>
      </c>
      <c r="S6" s="8" t="s">
        <v>44</v>
      </c>
      <c r="T6" s="8" t="s">
        <v>44</v>
      </c>
      <c r="U6" s="8" t="s">
        <v>44</v>
      </c>
      <c r="V6" s="8" t="s">
        <v>45</v>
      </c>
      <c r="W6" s="8" t="s">
        <v>44</v>
      </c>
      <c r="X6" s="8" t="s">
        <v>46</v>
      </c>
      <c r="Y6" s="8" t="s">
        <v>44</v>
      </c>
      <c r="Z6" s="8" t="s">
        <v>44</v>
      </c>
      <c r="AA6" s="8" t="s">
        <v>44</v>
      </c>
      <c r="AB6" s="8" t="s">
        <v>44</v>
      </c>
      <c r="AC6" s="8" t="s">
        <v>46</v>
      </c>
      <c r="AD6" s="8" t="s">
        <v>44</v>
      </c>
      <c r="AE6" s="8" t="s">
        <v>44</v>
      </c>
      <c r="AF6" s="8"/>
      <c r="AG6" s="8"/>
      <c r="AH6" s="8">
        <f>COUNTIF(C6:AF6,"P*")+COUNTIF(C6:AF6,"H*")*0.5</f>
        <v>23</v>
      </c>
      <c r="AI6" s="9">
        <f>COUNTIF(C6:AG6,"P+1")*1+COUNTIF(C6:AG6,"H+1")*1+COUNTIF(C6:AF6,"P+2")*2+COUNTIF(C6:AF6,"H+2")*2+COUNTIF(C6:AF6,"P+3")*3+COUNTIF(C6:AF6,"H+3")*3+COUNTIF(C6:AF6,"P+4")*4+COUNTIF(C6:AF6,"H+4")*4+COUNTIF(C6:AF6,"P+5")*5+COUNTIF(C6:AF6,"H+5")*5+COUNTIF(C6:AF6,"P+6")*6+COUNTIF(C6:AF6,"H+6")*6+COUNTIF(C6:AF6,"P+7")*7+COUNTIF(C6:AF6,"H+7")*7+COUNTIF(C6:AF6,"P+8")*8+COUNTIF(C6:AF6,"H+8")*8+COUNTIF(C6:AF6,"P+9")*9+COUNTIF(C6:AF6,"H+9")*9+COUNTIF(C6:AF6,"P+10")*10+COUNTIF(C6:AF6,"H+10")*10</f>
        <v>4</v>
      </c>
      <c r="AJ6" s="9">
        <f>ROUND(AG6*B6+AI6*(B6/8),0)</f>
        <v>300</v>
      </c>
      <c r="AK6" s="23">
        <f>AH6*B6+AJ6</f>
        <v>14100</v>
      </c>
    </row>
    <row r="7" spans="1:37" ht="15.6" customHeight="1" x14ac:dyDescent="0.15">
      <c r="A7" s="8" t="s">
        <v>49</v>
      </c>
      <c r="B7" s="8">
        <v>520.0</v>
      </c>
      <c r="C7" s="8" t="s">
        <v>44</v>
      </c>
      <c r="D7" s="8" t="s">
        <v>43</v>
      </c>
      <c r="E7" s="8" t="s">
        <v>44</v>
      </c>
      <c r="F7" s="8" t="s">
        <v>45</v>
      </c>
      <c r="G7" s="8" t="s">
        <v>44</v>
      </c>
      <c r="H7" s="8" t="s">
        <v>45</v>
      </c>
      <c r="I7" s="8" t="s">
        <v>44</v>
      </c>
      <c r="J7" s="8" t="s">
        <v>43</v>
      </c>
      <c r="K7" s="8" t="s">
        <v>46</v>
      </c>
      <c r="L7" s="8" t="s">
        <v>47</v>
      </c>
      <c r="M7" s="8" t="s">
        <v>43</v>
      </c>
      <c r="N7" s="8" t="s">
        <v>44</v>
      </c>
      <c r="O7" s="8" t="s">
        <v>46</v>
      </c>
      <c r="P7" s="8" t="s">
        <v>44</v>
      </c>
      <c r="Q7" s="8" t="s">
        <v>44</v>
      </c>
      <c r="R7" s="8" t="s">
        <v>44</v>
      </c>
      <c r="S7" s="8" t="s">
        <v>44</v>
      </c>
      <c r="T7" s="8" t="s">
        <v>44</v>
      </c>
      <c r="U7" s="8" t="s">
        <v>46</v>
      </c>
      <c r="V7" s="8" t="s">
        <v>45</v>
      </c>
      <c r="W7" s="8" t="s">
        <v>44</v>
      </c>
      <c r="X7" s="8" t="s">
        <v>44</v>
      </c>
      <c r="Y7" s="8" t="s">
        <v>44</v>
      </c>
      <c r="Z7" s="8" t="s">
        <v>44</v>
      </c>
      <c r="AA7" s="8" t="s">
        <v>44</v>
      </c>
      <c r="AB7" s="8" t="s">
        <v>44</v>
      </c>
      <c r="AC7" s="8" t="s">
        <v>46</v>
      </c>
      <c r="AD7" s="8" t="s">
        <v>44</v>
      </c>
      <c r="AE7" s="8" t="s">
        <v>44</v>
      </c>
      <c r="AF7" s="8"/>
      <c r="AG7" s="8"/>
      <c r="AH7" s="8">
        <f>COUNTIF(C7:AF7,"P*")+COUNTIF(C7:AF7,"H*")*0.5</f>
        <v>21</v>
      </c>
      <c r="AI7" s="9">
        <f>COUNTIF(C7:AG7,"P+1")*1+COUNTIF(C7:AG7,"H+1")*1+COUNTIF(C7:AF7,"P+2")*2+COUNTIF(C7:AF7,"H+2")*2+COUNTIF(C7:AF7,"P+3")*3+COUNTIF(C7:AF7,"H+3")*3+COUNTIF(C7:AF7,"P+4")*4+COUNTIF(C7:AF7,"H+4")*4+COUNTIF(C7:AF7,"P+5")*5+COUNTIF(C7:AF7,"H+5")*5+COUNTIF(C7:AF7,"P+6")*6+COUNTIF(C7:AF7,"H+6")*6+COUNTIF(C7:AF7,"P+7")*7+COUNTIF(C7:AF7,"H+7")*7+COUNTIF(C7:AF7,"P+8")*8+COUNTIF(C7:AF7,"H+8")*8+COUNTIF(C7:AF7,"P+9")*9+COUNTIF(C7:AF7,"H+9")*9+COUNTIF(C7:AF7,"P+10")*10+COUNTIF(C7:AF7,"H+10")*10</f>
        <v>3</v>
      </c>
      <c r="AJ7" s="9">
        <f>ROUND(AG7*B7+AI7*(B7/8),0)</f>
        <v>195</v>
      </c>
      <c r="AK7" s="23">
        <f>AH7*B7+AJ7</f>
        <v>11115</v>
      </c>
    </row>
    <row r="8" spans="1:37" ht="15.6" customHeight="1" x14ac:dyDescent="0.15">
      <c r="A8" s="8" t="s">
        <v>50</v>
      </c>
      <c r="B8" s="8">
        <v>550.0</v>
      </c>
      <c r="C8" s="8" t="s">
        <v>51</v>
      </c>
      <c r="D8" s="8" t="s">
        <v>43</v>
      </c>
      <c r="E8" s="8" t="s">
        <v>44</v>
      </c>
      <c r="F8" s="8" t="s">
        <v>45</v>
      </c>
      <c r="G8" s="8" t="s">
        <v>44</v>
      </c>
      <c r="H8" s="8" t="s">
        <v>45</v>
      </c>
      <c r="I8" s="8" t="s">
        <v>44</v>
      </c>
      <c r="J8" s="8" t="s">
        <v>43</v>
      </c>
      <c r="K8" s="8" t="s">
        <v>43</v>
      </c>
      <c r="L8" s="8" t="s">
        <v>47</v>
      </c>
      <c r="M8" s="8" t="s">
        <v>46</v>
      </c>
      <c r="N8" s="8" t="s">
        <v>44</v>
      </c>
      <c r="O8" s="8" t="s">
        <v>46</v>
      </c>
      <c r="P8" s="8" t="s">
        <v>44</v>
      </c>
      <c r="Q8" s="8" t="s">
        <v>44</v>
      </c>
      <c r="R8" s="8" t="s">
        <v>46</v>
      </c>
      <c r="S8" s="8" t="s">
        <v>46</v>
      </c>
      <c r="T8" s="8" t="s">
        <v>44</v>
      </c>
      <c r="U8" s="8" t="s">
        <v>44</v>
      </c>
      <c r="V8" s="8" t="s">
        <v>45</v>
      </c>
      <c r="W8" s="8" t="s">
        <v>44</v>
      </c>
      <c r="X8" s="8" t="s">
        <v>44</v>
      </c>
      <c r="Y8" s="8" t="s">
        <v>44</v>
      </c>
      <c r="Z8" s="8" t="s">
        <v>44</v>
      </c>
      <c r="AA8" s="8" t="s">
        <v>44</v>
      </c>
      <c r="AB8" s="8" t="s">
        <v>44</v>
      </c>
      <c r="AC8" s="8" t="s">
        <v>46</v>
      </c>
      <c r="AD8" s="8" t="s">
        <v>44</v>
      </c>
      <c r="AE8" s="8" t="s">
        <v>44</v>
      </c>
      <c r="AF8" s="8"/>
      <c r="AG8" s="8"/>
      <c r="AH8" s="8">
        <f>COUNTIF(C8:AF8,"P*")+COUNTIF(C8:AF8,"H*")*0.5</f>
        <v>19</v>
      </c>
      <c r="AI8" s="9">
        <f>COUNTIF(C8:AG8,"P+1")*1+COUNTIF(C8:AG8,"H+1")*1+COUNTIF(C8:AF8,"P+2")*2+COUNTIF(C8:AF8,"H+2")*2+COUNTIF(C8:AF8,"P+3")*3+COUNTIF(C8:AF8,"H+3")*3+COUNTIF(C8:AF8,"P+4")*4+COUNTIF(C8:AF8,"H+4")*4+COUNTIF(C8:AF8,"P+5")*5+COUNTIF(C8:AF8,"H+5")*5+COUNTIF(C8:AF8,"P+6")*6+COUNTIF(C8:AF8,"H+6")*6+COUNTIF(C8:AF8,"P+7")*7+COUNTIF(C8:AF8,"H+7")*7+COUNTIF(C8:AF8,"P+8")*8+COUNTIF(C8:AF8,"H+8")*8+COUNTIF(C8:AF8,"P+9")*9+COUNTIF(C8:AF8,"H+9")*9+COUNTIF(C8:AF8,"P+10")*10+COUNTIF(C8:AF8,"H+10")*10</f>
        <v>3</v>
      </c>
      <c r="AJ8" s="9">
        <f>ROUND(AG8*B8+AI8*(B8/8),0)</f>
        <v>206</v>
      </c>
      <c r="AK8" s="23">
        <f>AH8*B8+AJ8</f>
        <v>10656</v>
      </c>
    </row>
    <row r="9" spans="1:37" ht="15.6" customHeight="1" x14ac:dyDescent="0.15">
      <c r="A9" s="8" t="s">
        <v>52</v>
      </c>
      <c r="B9" s="8">
        <v>550.0</v>
      </c>
      <c r="C9" s="8" t="s">
        <v>51</v>
      </c>
      <c r="D9" s="8" t="s">
        <v>43</v>
      </c>
      <c r="E9" s="8" t="s">
        <v>44</v>
      </c>
      <c r="F9" s="8" t="s">
        <v>45</v>
      </c>
      <c r="G9" s="8" t="s">
        <v>44</v>
      </c>
      <c r="H9" s="8" t="s">
        <v>45</v>
      </c>
      <c r="I9" s="8" t="s">
        <v>46</v>
      </c>
      <c r="J9" s="8" t="s">
        <v>43</v>
      </c>
      <c r="K9" s="8" t="s">
        <v>44</v>
      </c>
      <c r="L9" s="8" t="s">
        <v>47</v>
      </c>
      <c r="M9" s="8" t="s">
        <v>43</v>
      </c>
      <c r="N9" s="8" t="s">
        <v>46</v>
      </c>
      <c r="O9" s="8" t="s">
        <v>46</v>
      </c>
      <c r="P9" s="8" t="s">
        <v>44</v>
      </c>
      <c r="Q9" s="8" t="s">
        <v>44</v>
      </c>
      <c r="R9" s="8" t="s">
        <v>44</v>
      </c>
      <c r="S9" s="8" t="s">
        <v>44</v>
      </c>
      <c r="T9" s="8" t="s">
        <v>46</v>
      </c>
      <c r="U9" s="8" t="s">
        <v>44</v>
      </c>
      <c r="V9" s="8" t="s">
        <v>45</v>
      </c>
      <c r="W9" s="8" t="s">
        <v>44</v>
      </c>
      <c r="X9" s="8" t="s">
        <v>44</v>
      </c>
      <c r="Y9" s="8" t="s">
        <v>46</v>
      </c>
      <c r="Z9" s="8" t="s">
        <v>44</v>
      </c>
      <c r="AA9" s="8" t="s">
        <v>44</v>
      </c>
      <c r="AB9" s="8" t="s">
        <v>44</v>
      </c>
      <c r="AC9" s="8" t="s">
        <v>46</v>
      </c>
      <c r="AD9" s="8" t="s">
        <v>44</v>
      </c>
      <c r="AE9" s="8" t="s">
        <v>46</v>
      </c>
      <c r="AF9" s="8"/>
      <c r="AG9" s="8"/>
      <c r="AH9" s="8">
        <f>COUNTIF(C9:AF9,"P*")+COUNTIF(C9:AF9,"H*")*0.5</f>
        <v>17</v>
      </c>
      <c r="AI9" s="9">
        <f>COUNTIF(C9:AG9,"P+1")*1+COUNTIF(C9:AG9,"H+1")*1+COUNTIF(C9:AF9,"P+2")*2+COUNTIF(C9:AF9,"H+2")*2+COUNTIF(C9:AF9,"P+3")*3+COUNTIF(C9:AF9,"H+3")*3+COUNTIF(C9:AF9,"P+4")*4+COUNTIF(C9:AF9,"H+4")*4+COUNTIF(C9:AF9,"P+5")*5+COUNTIF(C9:AF9,"H+5")*5+COUNTIF(C9:AF9,"P+6")*6+COUNTIF(C9:AF9,"H+6")*6+COUNTIF(C9:AF9,"P+7")*7+COUNTIF(C9:AF9,"H+7")*7+COUNTIF(C9:AF9,"P+8")*8+COUNTIF(C9:AF9,"H+8")*8+COUNTIF(C9:AF9,"P+9")*9+COUNTIF(C9:AF9,"H+9")*9+COUNTIF(C9:AF9,"P+10")*10+COUNTIF(C9:AF9,"H+10")*10</f>
        <v>3</v>
      </c>
      <c r="AJ9" s="9">
        <f>ROUND(AG9*B9+AI9*(B9/8),0)</f>
        <v>206</v>
      </c>
      <c r="AK9" s="23">
        <f>AH9*B9+AJ9</f>
        <v>9556</v>
      </c>
    </row>
    <row r="10" spans="1:37" ht="15.6" customHeight="1" x14ac:dyDescent="0.15">
      <c r="A10" s="8" t="s">
        <v>53</v>
      </c>
      <c r="B10" s="8">
        <v>470</v>
      </c>
      <c r="C10" s="8" t="s">
        <v>51</v>
      </c>
      <c r="D10" s="8" t="s">
        <v>44</v>
      </c>
      <c r="E10" s="8" t="s">
        <v>44</v>
      </c>
      <c r="F10" s="8" t="s">
        <v>45</v>
      </c>
      <c r="G10" s="8" t="s">
        <v>46</v>
      </c>
      <c r="H10" s="8" t="s">
        <v>45</v>
      </c>
      <c r="I10" s="8" t="s">
        <v>46</v>
      </c>
      <c r="J10" s="8" t="s">
        <v>46</v>
      </c>
      <c r="K10" s="8" t="s">
        <v>44</v>
      </c>
      <c r="L10" s="8" t="s">
        <v>47</v>
      </c>
      <c r="M10" s="8" t="s">
        <v>42</v>
      </c>
      <c r="N10" s="8" t="s">
        <v>44</v>
      </c>
      <c r="O10" s="8" t="s">
        <v>44</v>
      </c>
      <c r="P10" s="8" t="s">
        <v>46</v>
      </c>
      <c r="Q10" s="8" t="s">
        <v>44</v>
      </c>
      <c r="R10" s="8" t="s">
        <v>44</v>
      </c>
      <c r="S10" s="8" t="s">
        <v>44</v>
      </c>
      <c r="T10" s="8" t="s">
        <v>46</v>
      </c>
      <c r="U10" s="8" t="s">
        <v>44</v>
      </c>
      <c r="V10" s="8" t="s">
        <v>45</v>
      </c>
      <c r="W10" s="8" t="s">
        <v>46</v>
      </c>
      <c r="X10" s="8" t="s">
        <v>44</v>
      </c>
      <c r="Y10" s="8" t="s">
        <v>46</v>
      </c>
      <c r="Z10" s="8" t="s">
        <v>44</v>
      </c>
      <c r="AA10" s="8" t="s">
        <v>44</v>
      </c>
      <c r="AB10" s="8" t="s">
        <v>44</v>
      </c>
      <c r="AC10" s="8" t="s">
        <v>46</v>
      </c>
      <c r="AD10" s="8" t="s">
        <v>44</v>
      </c>
      <c r="AE10" s="8" t="s">
        <v>44</v>
      </c>
      <c r="AF10" s="8"/>
      <c r="AG10" s="8"/>
      <c r="AH10" s="8">
        <f>COUNTIF(C10:AF10,"P*")+COUNTIF(C10:AF10,"H*")*0.5</f>
        <v>15.5</v>
      </c>
      <c r="AI10" s="9">
        <f>COUNTIF(C10:AG10,"P+1")*1+COUNTIF(C10:AG10,"H+1")*1+COUNTIF(C10:AF10,"P+2")*2+COUNTIF(C10:AF10,"H+2")*2+COUNTIF(C10:AF10,"P+3")*3+COUNTIF(C10:AF10,"H+3")*3+COUNTIF(C10:AF10,"P+4")*4+COUNTIF(C10:AF10,"H+4")*4+COUNTIF(C10:AF10,"P+5")*5+COUNTIF(C10:AF10,"H+5")*5+COUNTIF(C10:AF10,"P+6")*6+COUNTIF(C10:AF10,"H+6")*6+COUNTIF(C10:AF10,"P+7")*7+COUNTIF(C10:AF10,"H+7")*7+COUNTIF(C10:AF10,"P+8")*8+COUNTIF(C10:AF10,"H+8")*8+COUNTIF(C10:AF10,"P+9")*9+COUNTIF(C10:AF10,"H+9")*9+COUNTIF(C10:AF10,"P+10")*10+COUNTIF(C10:AF10,"H+10")*10</f>
        <v>0</v>
      </c>
      <c r="AJ10" s="9">
        <f>ROUND(AG10*B10+AI10*(B10/8),0)</f>
        <v>0</v>
      </c>
      <c r="AK10" s="23">
        <f>AH10*B10+AJ10</f>
        <v>7285</v>
      </c>
    </row>
    <row r="11" spans="1:37" ht="15.6" customHeight="1" x14ac:dyDescent="0.15">
      <c r="A11" s="8" t="s">
        <v>54</v>
      </c>
      <c r="B11" s="8">
        <v>470.0</v>
      </c>
      <c r="C11" s="8" t="s">
        <v>44</v>
      </c>
      <c r="D11" s="8" t="s">
        <v>44</v>
      </c>
      <c r="E11" s="8" t="s">
        <v>44</v>
      </c>
      <c r="F11" s="8" t="s">
        <v>45</v>
      </c>
      <c r="G11" s="8" t="s">
        <v>46</v>
      </c>
      <c r="H11" s="8" t="s">
        <v>45</v>
      </c>
      <c r="I11" s="8" t="s">
        <v>44</v>
      </c>
      <c r="J11" s="8" t="s">
        <v>44</v>
      </c>
      <c r="K11" s="8" t="s">
        <v>46</v>
      </c>
      <c r="L11" s="8" t="s">
        <v>47</v>
      </c>
      <c r="M11" s="8" t="s">
        <v>44</v>
      </c>
      <c r="N11" s="8" t="s">
        <v>44</v>
      </c>
      <c r="O11" s="8" t="s">
        <v>44</v>
      </c>
      <c r="P11" s="8" t="s">
        <v>44</v>
      </c>
      <c r="Q11" s="8" t="s">
        <v>46</v>
      </c>
      <c r="R11" s="8" t="s">
        <v>44</v>
      </c>
      <c r="S11" s="8" t="s">
        <v>44</v>
      </c>
      <c r="T11" s="8" t="s">
        <v>44</v>
      </c>
      <c r="U11" s="8" t="s">
        <v>44</v>
      </c>
      <c r="V11" s="8" t="s">
        <v>45</v>
      </c>
      <c r="W11" s="8" t="s">
        <v>46</v>
      </c>
      <c r="X11" s="8" t="s">
        <v>46</v>
      </c>
      <c r="Y11" s="8" t="s">
        <v>44</v>
      </c>
      <c r="Z11" s="8" t="s">
        <v>44</v>
      </c>
      <c r="AA11" s="8" t="s">
        <v>46</v>
      </c>
      <c r="AB11" s="8" t="s">
        <v>44</v>
      </c>
      <c r="AC11" s="8" t="s">
        <v>46</v>
      </c>
      <c r="AD11" s="8" t="s">
        <v>44</v>
      </c>
      <c r="AE11" s="8" t="s">
        <v>44</v>
      </c>
      <c r="AF11" s="8"/>
      <c r="AG11" s="8"/>
      <c r="AH11" s="8">
        <f>COUNTIF(C11:AF11,"P*")+COUNTIF(C11:AF11,"H*")*0.5</f>
        <v>18</v>
      </c>
      <c r="AI11" s="9">
        <f>COUNTIF(C11:AG11,"P+1")*1+COUNTIF(C11:AG11,"H+1")*1+COUNTIF(C11:AF11,"P+2")*2+COUNTIF(C11:AF11,"H+2")*2+COUNTIF(C11:AF11,"P+3")*3+COUNTIF(C11:AF11,"H+3")*3+COUNTIF(C11:AF11,"P+4")*4+COUNTIF(C11:AF11,"H+4")*4+COUNTIF(C11:AF11,"P+5")*5+COUNTIF(C11:AF11,"H+5")*5+COUNTIF(C11:AF11,"P+6")*6+COUNTIF(C11:AF11,"H+6")*6+COUNTIF(C11:AF11,"P+7")*7+COUNTIF(C11:AF11,"H+7")*7+COUNTIF(C11:AF11,"P+8")*8+COUNTIF(C11:AF11,"H+8")*8+COUNTIF(C11:AF11,"P+9")*9+COUNTIF(C11:AF11,"H+9")*9+COUNTIF(C11:AF11,"P+10")*10+COUNTIF(C11:AF11,"H+10")*10</f>
        <v>0</v>
      </c>
      <c r="AJ11" s="9">
        <f>ROUND(AG11*B11+AI11*(B11/8),0)</f>
        <v>0</v>
      </c>
      <c r="AK11" s="23">
        <f>AH11*B11+AJ11</f>
        <v>8460</v>
      </c>
    </row>
    <row r="12" spans="1:37" ht="15.6" customHeight="1" x14ac:dyDescent="0.15">
      <c r="A12" s="8" t="s">
        <v>55</v>
      </c>
      <c r="B12" s="8">
        <v>450.0</v>
      </c>
      <c r="C12" s="8" t="s">
        <v>44</v>
      </c>
      <c r="D12" s="8" t="s">
        <v>46</v>
      </c>
      <c r="E12" s="8" t="s">
        <v>44</v>
      </c>
      <c r="F12" s="8" t="s">
        <v>45</v>
      </c>
      <c r="G12" s="8" t="s">
        <v>46</v>
      </c>
      <c r="H12" s="8" t="s">
        <v>45</v>
      </c>
      <c r="I12" s="8" t="s">
        <v>44</v>
      </c>
      <c r="J12" s="8" t="s">
        <v>44</v>
      </c>
      <c r="K12" s="8" t="s">
        <v>44</v>
      </c>
      <c r="L12" s="8" t="s">
        <v>47</v>
      </c>
      <c r="M12" s="8" t="s">
        <v>44</v>
      </c>
      <c r="N12" s="8" t="s">
        <v>46</v>
      </c>
      <c r="O12" s="8" t="s">
        <v>46</v>
      </c>
      <c r="P12" s="8" t="s">
        <v>44</v>
      </c>
      <c r="Q12" s="8" t="s">
        <v>46</v>
      </c>
      <c r="R12" s="8" t="s">
        <v>44</v>
      </c>
      <c r="S12" s="8" t="s">
        <v>44</v>
      </c>
      <c r="T12" s="8" t="s">
        <v>44</v>
      </c>
      <c r="U12" s="8" t="s">
        <v>44</v>
      </c>
      <c r="V12" s="8" t="s">
        <v>45</v>
      </c>
      <c r="W12" s="8" t="s">
        <v>44</v>
      </c>
      <c r="X12" s="8" t="s">
        <v>46</v>
      </c>
      <c r="Y12" s="8" t="s">
        <v>44</v>
      </c>
      <c r="Z12" s="8" t="s">
        <v>44</v>
      </c>
      <c r="AA12" s="8" t="s">
        <v>46</v>
      </c>
      <c r="AB12" s="8" t="s">
        <v>44</v>
      </c>
      <c r="AC12" s="8" t="s">
        <v>46</v>
      </c>
      <c r="AD12" s="8" t="s">
        <v>44</v>
      </c>
      <c r="AE12" s="8" t="s">
        <v>42</v>
      </c>
      <c r="AF12" s="8"/>
      <c r="AG12" s="8"/>
      <c r="AH12" s="8">
        <f>COUNTIF(C12:AF12,"P*")+COUNTIF(C12:AF12,"H*")*0.5</f>
        <v>16.5</v>
      </c>
      <c r="AI12" s="9">
        <f>COUNTIF(C12:AG12,"P+1")*1+COUNTIF(C12:AG12,"H+1")*1+COUNTIF(C12:AF12,"P+2")*2+COUNTIF(C12:AF12,"H+2")*2+COUNTIF(C12:AF12,"P+3")*3+COUNTIF(C12:AF12,"H+3")*3+COUNTIF(C12:AF12,"P+4")*4+COUNTIF(C12:AF12,"H+4")*4+COUNTIF(C12:AF12,"P+5")*5+COUNTIF(C12:AF12,"H+5")*5+COUNTIF(C12:AF12,"P+6")*6+COUNTIF(C12:AF12,"H+6")*6+COUNTIF(C12:AF12,"P+7")*7+COUNTIF(C12:AF12,"H+7")*7+COUNTIF(C12:AF12,"P+8")*8+COUNTIF(C12:AF12,"H+8")*8+COUNTIF(C12:AF12,"P+9")*9+COUNTIF(C12:AF12,"H+9")*9+COUNTIF(C12:AF12,"P+10")*10+COUNTIF(C12:AF12,"H+10")*10</f>
        <v>0</v>
      </c>
      <c r="AJ12" s="9">
        <f>ROUND(AG12*B12+AI12*(B12/8),0)</f>
        <v>0</v>
      </c>
      <c r="AK12" s="23">
        <f>AH12*B12+AJ12</f>
        <v>7425</v>
      </c>
    </row>
    <row r="13" spans="1:37" ht="15.6" customHeight="1" x14ac:dyDescent="0.15">
      <c r="A13" s="8" t="s">
        <v>56</v>
      </c>
      <c r="B13" s="8">
        <v>700.0</v>
      </c>
      <c r="C13" s="8" t="s">
        <v>51</v>
      </c>
      <c r="D13" s="8" t="s">
        <v>46</v>
      </c>
      <c r="E13" s="8" t="s">
        <v>46</v>
      </c>
      <c r="F13" s="8" t="s">
        <v>45</v>
      </c>
      <c r="G13" s="8" t="s">
        <v>46</v>
      </c>
      <c r="H13" s="8" t="s">
        <v>45</v>
      </c>
      <c r="I13" s="8" t="s">
        <v>46</v>
      </c>
      <c r="J13" s="8" t="s">
        <v>46</v>
      </c>
      <c r="K13" s="8" t="s">
        <v>46</v>
      </c>
      <c r="L13" s="8" t="s">
        <v>47</v>
      </c>
      <c r="M13" s="8" t="s">
        <v>46</v>
      </c>
      <c r="N13" s="8" t="s">
        <v>46</v>
      </c>
      <c r="O13" s="8" t="s">
        <v>46</v>
      </c>
      <c r="P13" s="8" t="s">
        <v>46</v>
      </c>
      <c r="Q13" s="8" t="s">
        <v>46</v>
      </c>
      <c r="R13" s="8" t="s">
        <v>46</v>
      </c>
      <c r="S13" s="8" t="s">
        <v>46</v>
      </c>
      <c r="T13" s="8" t="s">
        <v>46</v>
      </c>
      <c r="U13" s="8" t="s">
        <v>46</v>
      </c>
      <c r="V13" s="8" t="s">
        <v>45</v>
      </c>
      <c r="W13" s="8" t="s">
        <v>46</v>
      </c>
      <c r="X13" s="8" t="s">
        <v>46</v>
      </c>
      <c r="Y13" s="8" t="s">
        <v>46</v>
      </c>
      <c r="Z13" s="8" t="s">
        <v>46</v>
      </c>
      <c r="AA13" s="8" t="s">
        <v>46</v>
      </c>
      <c r="AB13" s="8" t="s">
        <v>46</v>
      </c>
      <c r="AC13" s="8" t="s">
        <v>46</v>
      </c>
      <c r="AD13" s="8" t="s">
        <v>46</v>
      </c>
      <c r="AE13" s="8" t="s">
        <v>46</v>
      </c>
      <c r="AF13" s="8"/>
      <c r="AG13" s="8"/>
      <c r="AH13" s="8">
        <f>COUNTIF(C13:AF13,"P*")+COUNTIF(C13:AF13,"H*")*0.5</f>
        <v>0</v>
      </c>
      <c r="AI13" s="9">
        <f>COUNTIF(C13:AG13,"P+1")*1+COUNTIF(C13:AG13,"H+1")*1+COUNTIF(C13:AF13,"P+2")*2+COUNTIF(C13:AF13,"H+2")*2+COUNTIF(C13:AF13,"P+3")*3+COUNTIF(C13:AF13,"H+3")*3+COUNTIF(C13:AF13,"P+4")*4+COUNTIF(C13:AF13,"H+4")*4+COUNTIF(C13:AF13,"P+5")*5+COUNTIF(C13:AF13,"H+5")*5+COUNTIF(C13:AF13,"P+6")*6+COUNTIF(C13:AF13,"H+6")*6+COUNTIF(C13:AF13,"P+7")*7+COUNTIF(C13:AF13,"H+7")*7+COUNTIF(C13:AF13,"P+8")*8+COUNTIF(C13:AF13,"H+8")*8+COUNTIF(C13:AF13,"P+9")*9+COUNTIF(C13:AF13,"H+9")*9+COUNTIF(C13:AF13,"P+10")*10+COUNTIF(C13:AF13,"H+10")*10</f>
        <v>0</v>
      </c>
      <c r="AJ13" s="9">
        <f>ROUND(AG13*B13+AI13*(B13/8),0)</f>
        <v>0</v>
      </c>
      <c r="AK13" s="23">
        <f>AH13*B13+AJ13</f>
        <v>0</v>
      </c>
    </row>
    <row r="14" spans="1:37" ht="15.6" customHeight="1" x14ac:dyDescent="0.15">
      <c r="A14" s="8" t="s">
        <v>57</v>
      </c>
      <c r="B14" s="8">
        <v>450.0</v>
      </c>
      <c r="C14" s="8" t="s">
        <v>44</v>
      </c>
      <c r="D14" s="8" t="s">
        <v>44</v>
      </c>
      <c r="E14" s="8" t="s">
        <v>46</v>
      </c>
      <c r="F14" s="8" t="s">
        <v>45</v>
      </c>
      <c r="G14" s="8" t="s">
        <v>46</v>
      </c>
      <c r="H14" s="8" t="s">
        <v>45</v>
      </c>
      <c r="I14" s="8" t="s">
        <v>44</v>
      </c>
      <c r="J14" s="8" t="s">
        <v>46</v>
      </c>
      <c r="K14" s="8" t="s">
        <v>44</v>
      </c>
      <c r="L14" s="8" t="s">
        <v>47</v>
      </c>
      <c r="M14" s="8" t="s">
        <v>46</v>
      </c>
      <c r="N14" s="8" t="s">
        <v>44</v>
      </c>
      <c r="O14" s="8" t="s">
        <v>44</v>
      </c>
      <c r="P14" s="8" t="s">
        <v>44</v>
      </c>
      <c r="Q14" s="8" t="s">
        <v>44</v>
      </c>
      <c r="R14" s="8" t="s">
        <v>44</v>
      </c>
      <c r="S14" s="8" t="s">
        <v>46</v>
      </c>
      <c r="T14" s="8" t="s">
        <v>44</v>
      </c>
      <c r="U14" s="8" t="s">
        <v>44</v>
      </c>
      <c r="V14" s="8" t="s">
        <v>45</v>
      </c>
      <c r="W14" s="8" t="s">
        <v>44</v>
      </c>
      <c r="X14" s="8" t="s">
        <v>44</v>
      </c>
      <c r="Y14" s="8" t="s">
        <v>44</v>
      </c>
      <c r="Z14" s="8" t="s">
        <v>42</v>
      </c>
      <c r="AA14" s="8" t="s">
        <v>46</v>
      </c>
      <c r="AB14" s="8" t="s">
        <v>44</v>
      </c>
      <c r="AC14" s="8" t="s">
        <v>46</v>
      </c>
      <c r="AD14" s="8" t="s">
        <v>44</v>
      </c>
      <c r="AE14" s="8" t="s">
        <v>46</v>
      </c>
      <c r="AF14" s="8"/>
      <c r="AG14" s="8"/>
      <c r="AH14" s="8">
        <f>COUNTIF(C14:AF14,"P*")+COUNTIF(C14:AF14,"H*")*0.5</f>
        <v>16.5</v>
      </c>
      <c r="AI14" s="9">
        <f>COUNTIF(C14:AG14,"P+1")*1+COUNTIF(C14:AG14,"H+1")*1+COUNTIF(C14:AF14,"P+2")*2+COUNTIF(C14:AF14,"H+2")*2+COUNTIF(C14:AF14,"P+3")*3+COUNTIF(C14:AF14,"H+3")*3+COUNTIF(C14:AF14,"P+4")*4+COUNTIF(C14:AF14,"H+4")*4+COUNTIF(C14:AF14,"P+5")*5+COUNTIF(C14:AF14,"H+5")*5+COUNTIF(C14:AF14,"P+6")*6+COUNTIF(C14:AF14,"H+6")*6+COUNTIF(C14:AF14,"P+7")*7+COUNTIF(C14:AF14,"H+7")*7+COUNTIF(C14:AF14,"P+8")*8+COUNTIF(C14:AF14,"H+8")*8+COUNTIF(C14:AF14,"P+9")*9+COUNTIF(C14:AF14,"H+9")*9+COUNTIF(C14:AF14,"P+10")*10+COUNTIF(C14:AF14,"H+10")*10</f>
        <v>0</v>
      </c>
      <c r="AJ14" s="9">
        <f>ROUND(AG14*B14+AI14*(B14/8),0)</f>
        <v>0</v>
      </c>
      <c r="AK14" s="23">
        <f>AH14*B14+AJ14</f>
        <v>7425</v>
      </c>
    </row>
    <row r="15" spans="1:37" ht="15.6" customHeight="1" x14ac:dyDescent="0.15">
      <c r="A15" s="8" t="s">
        <v>58</v>
      </c>
      <c r="B15" s="8">
        <v>450.0</v>
      </c>
      <c r="C15" s="8" t="s">
        <v>51</v>
      </c>
      <c r="D15" s="8" t="s">
        <v>43</v>
      </c>
      <c r="E15" s="8" t="s">
        <v>46</v>
      </c>
      <c r="F15" s="8" t="s">
        <v>45</v>
      </c>
      <c r="G15" s="8" t="s">
        <v>46</v>
      </c>
      <c r="H15" s="8" t="s">
        <v>45</v>
      </c>
      <c r="I15" s="8" t="s">
        <v>46</v>
      </c>
      <c r="J15" s="8" t="s">
        <v>46</v>
      </c>
      <c r="K15" s="8" t="s">
        <v>46</v>
      </c>
      <c r="L15" s="8" t="s">
        <v>47</v>
      </c>
      <c r="M15" s="8" t="s">
        <v>46</v>
      </c>
      <c r="N15" s="8" t="s">
        <v>46</v>
      </c>
      <c r="O15" s="8" t="s">
        <v>46</v>
      </c>
      <c r="P15" s="8" t="s">
        <v>46</v>
      </c>
      <c r="Q15" s="8" t="s">
        <v>46</v>
      </c>
      <c r="R15" s="8" t="s">
        <v>46</v>
      </c>
      <c r="S15" s="8" t="s">
        <v>46</v>
      </c>
      <c r="T15" s="8" t="s">
        <v>46</v>
      </c>
      <c r="U15" s="8" t="s">
        <v>46</v>
      </c>
      <c r="V15" s="8" t="s">
        <v>45</v>
      </c>
      <c r="W15" s="8" t="s">
        <v>46</v>
      </c>
      <c r="X15" s="8" t="s">
        <v>46</v>
      </c>
      <c r="Y15" s="8" t="s">
        <v>46</v>
      </c>
      <c r="Z15" s="8" t="s">
        <v>46</v>
      </c>
      <c r="AA15" s="8" t="s">
        <v>46</v>
      </c>
      <c r="AB15" s="8" t="s">
        <v>46</v>
      </c>
      <c r="AC15" s="8" t="s">
        <v>46</v>
      </c>
      <c r="AD15" s="8" t="s">
        <v>46</v>
      </c>
      <c r="AE15" s="8" t="s">
        <v>46</v>
      </c>
      <c r="AF15" s="8"/>
      <c r="AG15" s="8"/>
      <c r="AH15" s="8">
        <f>COUNTIF(C15:AF15,"P*")+COUNTIF(C15:AF15,"H*")*0.5</f>
        <v>1</v>
      </c>
      <c r="AI15" s="9">
        <f>COUNTIF(C15:AG15,"P+1")*1+COUNTIF(C15:AG15,"H+1")*1+COUNTIF(C15:AF15,"P+2")*2+COUNTIF(C15:AF15,"H+2")*2+COUNTIF(C15:AF15,"P+3")*3+COUNTIF(C15:AF15,"H+3")*3+COUNTIF(C15:AF15,"P+4")*4+COUNTIF(C15:AF15,"H+4")*4+COUNTIF(C15:AF15,"P+5")*5+COUNTIF(C15:AF15,"H+5")*5+COUNTIF(C15:AF15,"P+6")*6+COUNTIF(C15:AF15,"H+6")*6+COUNTIF(C15:AF15,"P+7")*7+COUNTIF(C15:AF15,"H+7")*7+COUNTIF(C15:AF15,"P+8")*8+COUNTIF(C15:AF15,"H+8")*8+COUNTIF(C15:AF15,"P+9")*9+COUNTIF(C15:AF15,"H+9")*9+COUNTIF(C15:AF15,"P+10")*10+COUNTIF(C15:AF15,"H+10")*10</f>
        <v>1</v>
      </c>
      <c r="AJ15" s="9">
        <f>ROUND(AG15*B15+AI15*(B15/8),0)</f>
        <v>56</v>
      </c>
      <c r="AK15" s="23">
        <f>AH15*B15+AJ15</f>
        <v>506</v>
      </c>
    </row>
    <row r="16" spans="1:37" ht="15.6" customHeight="1" x14ac:dyDescent="0.15">
      <c r="A16" s="8" t="s">
        <v>59</v>
      </c>
      <c r="B16" s="8">
        <v>460.0</v>
      </c>
      <c r="C16" s="8" t="s">
        <v>51</v>
      </c>
      <c r="D16" s="8" t="s">
        <v>44</v>
      </c>
      <c r="E16" s="8" t="s">
        <v>44</v>
      </c>
      <c r="F16" s="8" t="s">
        <v>45</v>
      </c>
      <c r="G16" s="8" t="s">
        <v>46</v>
      </c>
      <c r="H16" s="8" t="s">
        <v>45</v>
      </c>
      <c r="I16" s="8" t="s">
        <v>44</v>
      </c>
      <c r="J16" s="8" t="s">
        <v>46</v>
      </c>
      <c r="K16" s="8" t="s">
        <v>44</v>
      </c>
      <c r="L16" s="8" t="s">
        <v>47</v>
      </c>
      <c r="M16" s="8" t="s">
        <v>44</v>
      </c>
      <c r="N16" s="8" t="s">
        <v>46</v>
      </c>
      <c r="O16" s="8" t="s">
        <v>46</v>
      </c>
      <c r="P16" s="8" t="s">
        <v>44</v>
      </c>
      <c r="Q16" s="8" t="s">
        <v>44</v>
      </c>
      <c r="R16" s="8" t="s">
        <v>46</v>
      </c>
      <c r="S16" s="8" t="s">
        <v>46</v>
      </c>
      <c r="T16" s="8" t="s">
        <v>46</v>
      </c>
      <c r="U16" s="8" t="s">
        <v>46</v>
      </c>
      <c r="V16" s="8" t="s">
        <v>45</v>
      </c>
      <c r="W16" s="8" t="s">
        <v>46</v>
      </c>
      <c r="X16" s="8" t="s">
        <v>46</v>
      </c>
      <c r="Y16" s="8" t="s">
        <v>46</v>
      </c>
      <c r="Z16" s="8" t="s">
        <v>46</v>
      </c>
      <c r="AA16" s="8" t="s">
        <v>46</v>
      </c>
      <c r="AB16" s="8" t="s">
        <v>46</v>
      </c>
      <c r="AC16" s="8" t="s">
        <v>46</v>
      </c>
      <c r="AD16" s="8" t="s">
        <v>46</v>
      </c>
      <c r="AE16" s="8" t="s">
        <v>46</v>
      </c>
      <c r="AF16" s="8"/>
      <c r="AG16" s="8"/>
      <c r="AH16" s="8">
        <f>COUNTIF(C16:AF16,"P*")+COUNTIF(C16:AF16,"H*")*0.5</f>
        <v>7</v>
      </c>
      <c r="AI16" s="9">
        <f>COUNTIF(C16:AG16,"P+1")*1+COUNTIF(C16:AG16,"H+1")*1+COUNTIF(C16:AF16,"P+2")*2+COUNTIF(C16:AF16,"H+2")*2+COUNTIF(C16:AF16,"P+3")*3+COUNTIF(C16:AF16,"H+3")*3+COUNTIF(C16:AF16,"P+4")*4+COUNTIF(C16:AF16,"H+4")*4+COUNTIF(C16:AF16,"P+5")*5+COUNTIF(C16:AF16,"H+5")*5+COUNTIF(C16:AF16,"P+6")*6+COUNTIF(C16:AF16,"H+6")*6+COUNTIF(C16:AF16,"P+7")*7+COUNTIF(C16:AF16,"H+7")*7+COUNTIF(C16:AF16,"P+8")*8+COUNTIF(C16:AF16,"H+8")*8+COUNTIF(C16:AF16,"P+9")*9+COUNTIF(C16:AF16,"H+9")*9+COUNTIF(C16:AF16,"P+10")*10+COUNTIF(C16:AF16,"H+10")*10</f>
        <v>0</v>
      </c>
      <c r="AJ16" s="9">
        <f>ROUND(AG16*B16+AI16*(B16/8),0)</f>
        <v>0</v>
      </c>
      <c r="AK16" s="23">
        <f>AH16*B16+AJ16</f>
        <v>3220</v>
      </c>
    </row>
    <row r="17" spans="1:37" ht="15.6" customHeight="1" x14ac:dyDescent="0.15">
      <c r="A17" s="8" t="s">
        <v>60</v>
      </c>
      <c r="B17" s="8">
        <v>430.0</v>
      </c>
      <c r="C17" s="8" t="s">
        <v>44</v>
      </c>
      <c r="D17" s="8" t="s">
        <v>42</v>
      </c>
      <c r="E17" s="8" t="s">
        <v>44</v>
      </c>
      <c r="F17" s="8" t="s">
        <v>45</v>
      </c>
      <c r="G17" s="8" t="s">
        <v>46</v>
      </c>
      <c r="H17" s="8" t="s">
        <v>45</v>
      </c>
      <c r="I17" s="8" t="s">
        <v>44</v>
      </c>
      <c r="J17" s="8" t="s">
        <v>43</v>
      </c>
      <c r="K17" s="8" t="s">
        <v>43</v>
      </c>
      <c r="L17" s="8" t="s">
        <v>47</v>
      </c>
      <c r="M17" s="8" t="s">
        <v>46</v>
      </c>
      <c r="N17" s="8" t="s">
        <v>46</v>
      </c>
      <c r="O17" s="8" t="s">
        <v>46</v>
      </c>
      <c r="P17" s="8" t="s">
        <v>44</v>
      </c>
      <c r="Q17" s="8" t="s">
        <v>42</v>
      </c>
      <c r="R17" s="8" t="s">
        <v>44</v>
      </c>
      <c r="S17" s="8" t="s">
        <v>44</v>
      </c>
      <c r="T17" s="8" t="s">
        <v>44</v>
      </c>
      <c r="U17" s="8" t="s">
        <v>46</v>
      </c>
      <c r="V17" s="8" t="s">
        <v>45</v>
      </c>
      <c r="W17" s="8" t="s">
        <v>44</v>
      </c>
      <c r="X17" s="8" t="s">
        <v>44</v>
      </c>
      <c r="Y17" s="8" t="s">
        <v>46</v>
      </c>
      <c r="Z17" s="8" t="s">
        <v>46</v>
      </c>
      <c r="AA17" s="8" t="s">
        <v>44</v>
      </c>
      <c r="AB17" s="8" t="s">
        <v>44</v>
      </c>
      <c r="AC17" s="8" t="s">
        <v>46</v>
      </c>
      <c r="AD17" s="8" t="s">
        <v>44</v>
      </c>
      <c r="AE17" s="8" t="s">
        <v>44</v>
      </c>
      <c r="AF17" s="8"/>
      <c r="AG17" s="8"/>
      <c r="AH17" s="8">
        <f>COUNTIF(C17:AF17,"P*")+COUNTIF(C17:AF17,"H*")*0.5</f>
        <v>16</v>
      </c>
      <c r="AI17" s="9">
        <f>COUNTIF(C17:AG17,"P+1")*1+COUNTIF(C17:AG17,"H+1")*1+COUNTIF(C17:AF17,"P+2")*2+COUNTIF(C17:AF17,"H+2")*2+COUNTIF(C17:AF17,"P+3")*3+COUNTIF(C17:AF17,"H+3")*3+COUNTIF(C17:AF17,"P+4")*4+COUNTIF(C17:AF17,"H+4")*4+COUNTIF(C17:AF17,"P+5")*5+COUNTIF(C17:AF17,"H+5")*5+COUNTIF(C17:AF17,"P+6")*6+COUNTIF(C17:AF17,"H+6")*6+COUNTIF(C17:AF17,"P+7")*7+COUNTIF(C17:AF17,"H+7")*7+COUNTIF(C17:AF17,"P+8")*8+COUNTIF(C17:AF17,"H+8")*8+COUNTIF(C17:AF17,"P+9")*9+COUNTIF(C17:AF17,"H+9")*9+COUNTIF(C17:AF17,"P+10")*10+COUNTIF(C17:AF17,"H+10")*10</f>
        <v>2</v>
      </c>
      <c r="AJ17" s="9">
        <f>ROUND(AG17*B17+AI17*(B17/8),0)</f>
        <v>108</v>
      </c>
      <c r="AK17" s="23">
        <f>AH17*B17+AJ17</f>
        <v>6988</v>
      </c>
    </row>
    <row r="18" spans="1:37" ht="15.6" customHeight="1" x14ac:dyDescent="0.15">
      <c r="A18" s="8" t="s">
        <v>61</v>
      </c>
      <c r="B18" s="8">
        <v>480.0</v>
      </c>
      <c r="C18" s="8" t="s">
        <v>51</v>
      </c>
      <c r="D18" s="8" t="s">
        <v>44</v>
      </c>
      <c r="E18" s="8" t="s">
        <v>46</v>
      </c>
      <c r="F18" s="8" t="s">
        <v>45</v>
      </c>
      <c r="G18" s="8" t="s">
        <v>44</v>
      </c>
      <c r="H18" s="8" t="s">
        <v>45</v>
      </c>
      <c r="I18" s="8" t="s">
        <v>44</v>
      </c>
      <c r="J18" s="8" t="s">
        <v>42</v>
      </c>
      <c r="K18" s="8" t="s">
        <v>46</v>
      </c>
      <c r="L18" s="8" t="s">
        <v>47</v>
      </c>
      <c r="M18" s="8" t="s">
        <v>44</v>
      </c>
      <c r="N18" s="8" t="s">
        <v>44</v>
      </c>
      <c r="O18" s="8" t="s">
        <v>46</v>
      </c>
      <c r="P18" s="8" t="s">
        <v>44</v>
      </c>
      <c r="Q18" s="8" t="s">
        <v>44</v>
      </c>
      <c r="R18" s="8" t="s">
        <v>46</v>
      </c>
      <c r="S18" s="8" t="s">
        <v>46</v>
      </c>
      <c r="T18" s="8" t="s">
        <v>46</v>
      </c>
      <c r="U18" s="8" t="s">
        <v>44</v>
      </c>
      <c r="V18" s="8" t="s">
        <v>45</v>
      </c>
      <c r="W18" s="8" t="s">
        <v>46</v>
      </c>
      <c r="X18" s="8" t="s">
        <v>44</v>
      </c>
      <c r="Y18" s="8" t="s">
        <v>46</v>
      </c>
      <c r="Z18" s="8" t="s">
        <v>46</v>
      </c>
      <c r="AA18" s="8" t="s">
        <v>46</v>
      </c>
      <c r="AB18" s="8" t="s">
        <v>46</v>
      </c>
      <c r="AC18" s="8" t="s">
        <v>46</v>
      </c>
      <c r="AD18" s="8" t="s">
        <v>44</v>
      </c>
      <c r="AE18" s="8" t="s">
        <v>44</v>
      </c>
      <c r="AF18" s="8"/>
      <c r="AG18" s="8"/>
      <c r="AH18" s="8">
        <f>COUNTIF(C18:AF18,"P*")+COUNTIF(C18:AF18,"H*")*0.5</f>
        <v>11.5</v>
      </c>
      <c r="AI18" s="9">
        <f>COUNTIF(C18:AG18,"P+1")*1+COUNTIF(C18:AG18,"H+1")*1+COUNTIF(C18:AF18,"P+2")*2+COUNTIF(C18:AF18,"H+2")*2+COUNTIF(C18:AF18,"P+3")*3+COUNTIF(C18:AF18,"H+3")*3+COUNTIF(C18:AF18,"P+4")*4+COUNTIF(C18:AF18,"H+4")*4+COUNTIF(C18:AF18,"P+5")*5+COUNTIF(C18:AF18,"H+5")*5+COUNTIF(C18:AF18,"P+6")*6+COUNTIF(C18:AF18,"H+6")*6+COUNTIF(C18:AF18,"P+7")*7+COUNTIF(C18:AF18,"H+7")*7+COUNTIF(C18:AF18,"P+8")*8+COUNTIF(C18:AF18,"H+8")*8+COUNTIF(C18:AF18,"P+9")*9+COUNTIF(C18:AF18,"H+9")*9+COUNTIF(C18:AF18,"P+10")*10+COUNTIF(C18:AF18,"H+10")*10</f>
        <v>0</v>
      </c>
      <c r="AJ18" s="9">
        <f>ROUND(AG18*B18+AI18*(B18/8),0)</f>
        <v>0</v>
      </c>
      <c r="AK18" s="23">
        <f>AH18*B18+AJ18</f>
        <v>5520</v>
      </c>
    </row>
    <row r="19" spans="1:37" ht="15.0" customHeight="1" x14ac:dyDescent="0.15">
      <c r="A19" s="8" t="s">
        <v>62</v>
      </c>
      <c r="B19" s="8">
        <v>450.0</v>
      </c>
      <c r="C19" s="8" t="s">
        <v>44</v>
      </c>
      <c r="D19" s="8" t="s">
        <v>44</v>
      </c>
      <c r="E19" s="8" t="s">
        <v>44</v>
      </c>
      <c r="F19" s="8" t="s">
        <v>45</v>
      </c>
      <c r="G19" s="8" t="s">
        <v>44</v>
      </c>
      <c r="H19" s="8" t="s">
        <v>45</v>
      </c>
      <c r="I19" s="8" t="s">
        <v>44</v>
      </c>
      <c r="J19" s="8" t="s">
        <v>44</v>
      </c>
      <c r="K19" s="8" t="s">
        <v>44</v>
      </c>
      <c r="L19" s="8" t="s">
        <v>47</v>
      </c>
      <c r="M19" s="8" t="s">
        <v>44</v>
      </c>
      <c r="N19" s="8" t="s">
        <v>44</v>
      </c>
      <c r="O19" s="8" t="s">
        <v>44</v>
      </c>
      <c r="P19" s="8" t="s">
        <v>44</v>
      </c>
      <c r="Q19" s="8" t="s">
        <v>44</v>
      </c>
      <c r="R19" s="8" t="s">
        <v>44</v>
      </c>
      <c r="S19" s="8" t="s">
        <v>44</v>
      </c>
      <c r="T19" s="8" t="s">
        <v>46</v>
      </c>
      <c r="U19" s="8" t="s">
        <v>44</v>
      </c>
      <c r="V19" s="8" t="s">
        <v>45</v>
      </c>
      <c r="W19" s="8" t="s">
        <v>46</v>
      </c>
      <c r="X19" s="8" t="s">
        <v>46</v>
      </c>
      <c r="Y19" s="8" t="s">
        <v>46</v>
      </c>
      <c r="Z19" s="8" t="s">
        <v>44</v>
      </c>
      <c r="AA19" s="8" t="s">
        <v>44</v>
      </c>
      <c r="AB19" s="8" t="s">
        <v>44</v>
      </c>
      <c r="AC19" s="8" t="s">
        <v>46</v>
      </c>
      <c r="AD19" s="8" t="s">
        <v>46</v>
      </c>
      <c r="AE19" s="8" t="s">
        <v>44</v>
      </c>
      <c r="AF19" s="8"/>
      <c r="AG19" s="8"/>
      <c r="AH19" s="8">
        <f>COUNTIF(C19:AF19,"P*")+COUNTIF(C19:AF19,"H*")*0.5</f>
        <v>19</v>
      </c>
      <c r="AI19" s="9">
        <f>COUNTIF(C19:AG19,"P+1")*1+COUNTIF(C19:AG19,"H+1")*1+COUNTIF(C19:AF19,"P+2")*2+COUNTIF(C19:AF19,"H+2")*2+COUNTIF(C19:AF19,"P+3")*3+COUNTIF(C19:AF19,"H+3")*3+COUNTIF(C19:AF19,"P+4")*4+COUNTIF(C19:AF19,"H+4")*4+COUNTIF(C19:AF19,"P+5")*5+COUNTIF(C19:AF19,"H+5")*5+COUNTIF(C19:AF19,"P+6")*6+COUNTIF(C19:AF19,"H+6")*6+COUNTIF(C19:AF19,"P+7")*7+COUNTIF(C19:AF19,"H+7")*7+COUNTIF(C19:AF19,"P+8")*8+COUNTIF(C19:AF19,"H+8")*8+COUNTIF(C19:AF19,"P+9")*9+COUNTIF(C19:AF19,"H+9")*9+COUNTIF(C19:AF19,"P+10")*10+COUNTIF(C19:AF19,"H+10")*10</f>
        <v>0</v>
      </c>
      <c r="AJ19" s="9">
        <f>ROUND(AG19*B19+AI19*(B19/8),0)</f>
        <v>0</v>
      </c>
      <c r="AK19" s="23">
        <f>AH19*B19+AJ19</f>
        <v>8550</v>
      </c>
    </row>
    <row r="20" spans="1:37" ht="15.0" customHeight="1" x14ac:dyDescent="0.15">
      <c r="A20" s="8" t="s">
        <v>63</v>
      </c>
      <c r="B20" s="8">
        <v>430.0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 t="s">
        <v>44</v>
      </c>
      <c r="U20" s="8" t="s">
        <v>44</v>
      </c>
      <c r="V20" s="8" t="s">
        <v>45</v>
      </c>
      <c r="W20" s="8" t="s">
        <v>44</v>
      </c>
      <c r="X20" s="8" t="s">
        <v>44</v>
      </c>
      <c r="Y20" s="8" t="s">
        <v>44</v>
      </c>
      <c r="Z20" s="8" t="s">
        <v>44</v>
      </c>
      <c r="AA20" s="8" t="s">
        <v>44</v>
      </c>
      <c r="AB20" s="8" t="s">
        <v>44</v>
      </c>
      <c r="AC20" s="8" t="s">
        <v>46</v>
      </c>
      <c r="AD20" s="8" t="s">
        <v>44</v>
      </c>
      <c r="AE20" s="8" t="s">
        <v>44</v>
      </c>
      <c r="AF20" s="8"/>
      <c r="AG20" s="8"/>
      <c r="AH20" s="8">
        <f>COUNTIF(C20:AF20,"P*")+COUNTIF(C20:AF20,"H*")*0.5</f>
        <v>10</v>
      </c>
      <c r="AI20" s="9">
        <f>COUNTIF(C20:AG20,"P+1")*1+COUNTIF(C20:AG20,"H+1")*1+COUNTIF(C20:AF20,"P+2")*2+COUNTIF(C20:AF20,"H+2")*2+COUNTIF(C20:AF20,"P+3")*3+COUNTIF(C20:AF20,"H+3")*3+COUNTIF(C20:AF20,"P+4")*4+COUNTIF(C20:AF20,"H+4")*4+COUNTIF(C20:AF20,"P+5")*5+COUNTIF(C20:AF20,"H+5")*5+COUNTIF(C20:AF20,"P+6")*6+COUNTIF(C20:AF20,"H+6")*6+COUNTIF(C20:AF20,"P+7")*7+COUNTIF(C20:AF20,"H+7")*7+COUNTIF(C20:AF20,"P+8")*8+COUNTIF(C20:AF20,"H+8")*8+COUNTIF(C20:AF20,"P+9")*9+COUNTIF(C20:AF20,"H+9")*9+COUNTIF(C20:AF20,"P+10")*10+COUNTIF(C20:AF20,"H+10")*10</f>
        <v>0</v>
      </c>
      <c r="AJ20" s="9">
        <f>ROUND(AG20*B20+AI20*(B20/8),0)</f>
        <v>0</v>
      </c>
      <c r="AK20" s="23">
        <f>AH20*B20+AJ20</f>
        <v>4300</v>
      </c>
    </row>
    <row r="21" spans="1:37" ht="15.0" customHeight="1" x14ac:dyDescent="0.1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</row>
    <row r="22" spans="1:37" ht="15.0" customHeight="1" x14ac:dyDescent="0.15">
      <c r="A22" s="10" t="s">
        <v>64</v>
      </c>
      <c r="B22" s="10"/>
      <c r="C22" s="10">
        <f>COUNTIF(C5:C20,"P*")+COUNTIF(C5:C20,"H*")*0.5</f>
        <v>7.5</v>
      </c>
      <c r="D22" s="10">
        <f>COUNTIF(D5:D20,"P*")+COUNTIF(D5:D20,"H*")*0.5</f>
        <v>12.5</v>
      </c>
      <c r="E22" s="10">
        <f>COUNTIF(E5:E20,"P*")+COUNTIF(E5:E20,"H*")*0.5</f>
        <v>11</v>
      </c>
      <c r="F22" s="10">
        <f>COUNTIF(F5:F20,"P*")+COUNTIF(F5:F20,"H*")*0.5</f>
        <v>0</v>
      </c>
      <c r="G22" s="10">
        <f>COUNTIF(G5:G20,"P*")+COUNTIF(G5:G20,"H*")*0.5</f>
        <v>6</v>
      </c>
      <c r="H22" s="10">
        <f>COUNTIF(H5:H20,"P*")+COUNTIF(H5:H20,"H*")*0.5</f>
        <v>0</v>
      </c>
      <c r="I22" s="10">
        <f>COUNTIF(I5:I20,"P*")+COUNTIF(I5:I20,"H*")*0.5</f>
        <v>11</v>
      </c>
      <c r="J22" s="10">
        <f>COUNTIF(J5:J20,"P*")+COUNTIF(J5:J20,"H*")*0.5</f>
        <v>9.5</v>
      </c>
      <c r="K22" s="10">
        <f>COUNTIF(K5:K20,"P*")+COUNTIF(K5:K20,"H*")*0.5</f>
        <v>10</v>
      </c>
      <c r="L22" s="10">
        <f>COUNTIF(L5:L20,"P*")+COUNTIF(L5:L20,"H*")*0.5</f>
        <v>0</v>
      </c>
      <c r="M22" s="10">
        <f>COUNTIF(M5:M20,"P*")+COUNTIF(M5:M20,"H*")*0.5</f>
        <v>8.5</v>
      </c>
      <c r="N22" s="10">
        <f>COUNTIF(N5:N20,"P*")+COUNTIF(N5:N20,"H*")*0.5</f>
        <v>9</v>
      </c>
      <c r="O22" s="10">
        <f>COUNTIF(O5:O20,"P*")+COUNTIF(O5:O20,"H*")*0.5</f>
        <v>6</v>
      </c>
      <c r="P22" s="10">
        <f>COUNTIF(P5:P20,"P*")+COUNTIF(P5:P20,"H*")*0.5</f>
        <v>12</v>
      </c>
      <c r="Q22" s="10">
        <f>COUNTIF(Q5:Q20,"P*")+COUNTIF(Q5:Q20,"H*")*0.5</f>
        <v>9.5</v>
      </c>
      <c r="R22" s="10">
        <f>COUNTIF(R5:R20,"P*")+COUNTIF(R5:R20,"H*")*0.5</f>
        <v>10</v>
      </c>
      <c r="S22" s="10">
        <f>COUNTIF(S5:S20,"P*")+COUNTIF(S5:S20,"H*")*0.5</f>
        <v>9</v>
      </c>
      <c r="T22" s="10">
        <f>COUNTIF(T5:T20,"P*")+COUNTIF(T5:T20,"H*")*0.5</f>
        <v>9</v>
      </c>
      <c r="U22" s="10">
        <f>COUNTIF(U5:U20,"P*")+COUNTIF(U5:U20,"H*")*0.5</f>
        <v>11</v>
      </c>
      <c r="V22" s="10">
        <f>COUNTIF(V5:V20,"P*")+COUNTIF(V5:V20,"H*")*0.5</f>
        <v>0</v>
      </c>
      <c r="W22" s="10">
        <f>COUNTIF(W5:W20,"P*")+COUNTIF(W5:W20,"H*")*0.5</f>
        <v>8</v>
      </c>
      <c r="X22" s="10">
        <f>COUNTIF(X5:X20,"P*")+COUNTIF(X5:X20,"H*")*0.5</f>
        <v>8</v>
      </c>
      <c r="Y22" s="10">
        <f>COUNTIF(Y5:Y20,"P*")+COUNTIF(Y5:Y20,"H*")*0.5</f>
        <v>7</v>
      </c>
      <c r="Z22" s="10">
        <f>COUNTIF(Z5:Z20,"P*")+COUNTIF(Z5:Z20,"H*")*0.5</f>
        <v>10.5</v>
      </c>
      <c r="AA22" s="10">
        <f>COUNTIF(AA5:AA20,"P*")+COUNTIF(AA5:AA20,"H*")*0.5</f>
        <v>9</v>
      </c>
      <c r="AB22" s="10">
        <f>COUNTIF(AB5:AB20,"P*")+COUNTIF(AB5:AB20,"H*")*0.5</f>
        <v>12</v>
      </c>
      <c r="AC22" s="10">
        <f>COUNTIF(AC5:AC20,"P*")+COUNTIF(AC5:AC20,"H*")*0.5</f>
        <v>0</v>
      </c>
      <c r="AD22" s="10">
        <f>COUNTIF(AD5:AD20,"P*")+COUNTIF(AD5:AD20,"H*")*0.5</f>
        <v>12</v>
      </c>
      <c r="AE22" s="10">
        <f>COUNTIF(AE5:AE20,"P*")+COUNTIF(AE5:AE20,"H*")*0.5</f>
        <v>10.0</v>
      </c>
      <c r="AF22" s="10">
        <f>COUNTIF(AF5:AF20,"P*")+COUNTIF(AF5:AF20,"H*")*0.5</f>
        <v>0</v>
      </c>
      <c r="AG22" s="10">
        <f>COUNTIF(AG5:AG20,"P*")+COUNTIF(AG5:AG20,"H*")*0.5</f>
        <v>0</v>
      </c>
      <c r="AH22" s="10"/>
      <c r="AI22" s="10"/>
      <c r="AJ22" s="10"/>
      <c r="AK22" s="10"/>
    </row>
    <row r="23" spans="1:37" ht="15.0" customHeight="1" x14ac:dyDescent="0.15">
      <c r="A23" s="10" t="s">
        <v>65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>
        <f>SUM(AI5:AI19)</f>
        <v>19</v>
      </c>
      <c r="AJ23" s="10"/>
      <c r="AK23" s="10"/>
    </row>
    <row r="24" spans="1:37" ht="15.0" customHeight="1" x14ac:dyDescent="0.15">
      <c r="A24" s="10" t="s">
        <v>40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>
        <f>SUM(AK5:AK20)</f>
        <v>115531</v>
      </c>
    </row>
    <row r="25" spans="1:37" ht="15.0" customHeight="1" x14ac:dyDescent="0.15">
      <c r="A25" s="11" t="s">
        <v>66</v>
      </c>
      <c r="B25" s="10"/>
      <c r="C25" s="10">
        <f t="array" ref="C25">SUMPRODUCT((C5:C20="P")*$B$5:$B$20)+SUMPRODUCT((C5:C20="P+1")*$B$5:$B$20*9/8)+SUMPRODUCT((C5:C20="H")*$B$5:$B$20/2)</f>
        <v>3670</v>
      </c>
      <c r="D25" s="10">
        <f t="array" ref="D25">SUMPRODUCT((D5:D20="P")*$B$5:$B$20)+SUMPRODUCT((D5:D20="P+1")*$B$5:$B$20*9/8)+SUMPRODUCT((D5:D20="H")*$B$5:$B$20/2)</f>
        <v>6673.75</v>
      </c>
      <c r="E25" s="10">
        <f t="array" ref="E25">SUMPRODUCT((E5:E20="P")*$B$5:$B$20)+SUMPRODUCT((E5:E20="P+1")*$B$5:$B$20*9/8)+SUMPRODUCT((E5:E20="H")*$B$5:$B$20/2)</f>
        <v>5550</v>
      </c>
      <c r="F25" s="10">
        <f t="array" ref="F25">SUMPRODUCT((F5:F20="P")*$B$5:$B$20)+SUMPRODUCT((F5:F20="P+1")*$B$5:$B$20*9/8)+SUMPRODUCT((F5:F20="H")*$B$5:$B$20/2)</f>
        <v>0</v>
      </c>
      <c r="G25" s="10">
        <f t="array" ref="G25">SUMPRODUCT((G5:G20="P")*$B$5:$B$20)+SUMPRODUCT((G5:G20="P+1")*$B$5:$B$20*9/8)+SUMPRODUCT((G5:G20="H")*$B$5:$B$20/2)</f>
        <v>3150</v>
      </c>
      <c r="H25" s="10">
        <f t="array" ref="H25">SUMPRODUCT((H5:H20="P")*$B$5:$B$20)+SUMPRODUCT((H5:H20="P+1")*$B$5:$B$20*9/8)+SUMPRODUCT((H5:H20="H")*$B$5:$B$20/2)</f>
        <v>0</v>
      </c>
      <c r="I25" s="10">
        <f t="array" ref="I25">SUMPRODUCT((I5:I20="P")*$B$5:$B$20)+SUMPRODUCT((I5:I20="P+1")*$B$5:$B$20*9/8)+SUMPRODUCT((I5:I20="H")*$B$5:$B$20/2)</f>
        <v>5460</v>
      </c>
      <c r="J25" s="10">
        <f t="array" ref="J25">SUMPRODUCT((J5:J20="P")*$B$5:$B$20)+SUMPRODUCT((J5:J20="P+1")*$B$5:$B$20*9/8)+SUMPRODUCT((J5:J20="H")*$B$5:$B$20/2)</f>
        <v>5266.25</v>
      </c>
      <c r="K25" s="10">
        <f t="array" ref="K25">SUMPRODUCT((K5:K20="P")*$B$5:$B$20)+SUMPRODUCT((K5:K20="P+1")*$B$5:$B$20*9/8)+SUMPRODUCT((K5:K20="H")*$B$5:$B$20/2)</f>
        <v>5282.5</v>
      </c>
      <c r="L25" s="10">
        <f t="array" ref="L25">SUMPRODUCT((L5:L20="P")*$B$5:$B$20)+SUMPRODUCT((L5:L20="P+1")*$B$5:$B$20*9/8)+SUMPRODUCT((L5:L20="H")*$B$5:$B$20/2)</f>
        <v>0</v>
      </c>
      <c r="M25" s="10">
        <f t="array" ref="M25">SUMPRODUCT((M5:M20="P")*$B$5:$B$20)+SUMPRODUCT((M5:M20="P+1")*$B$5:$B$20*9/8)+SUMPRODUCT((M5:M20="H")*$B$5:$B$20/2)</f>
        <v>4423.75</v>
      </c>
      <c r="N25" s="10">
        <f t="array" ref="N25">SUMPRODUCT((N5:N20="P")*$B$5:$B$20)+SUMPRODUCT((N5:N20="P+1")*$B$5:$B$20*9/8)+SUMPRODUCT((N5:N20="H")*$B$5:$B$20/2)</f>
        <v>4590</v>
      </c>
      <c r="O25" s="10">
        <f t="array" ref="O25">SUMPRODUCT((O5:O20="P")*$B$5:$B$20)+SUMPRODUCT((O5:O20="P+1")*$B$5:$B$20*9/8)+SUMPRODUCT((O5:O20="H")*$B$5:$B$20/2)</f>
        <v>3040</v>
      </c>
      <c r="P25" s="10">
        <f t="array" ref="P25">SUMPRODUCT((P5:P20="P")*$B$5:$B$20)+SUMPRODUCT((P5:P20="P+1")*$B$5:$B$20*9/8)+SUMPRODUCT((P5:P20="H")*$B$5:$B$20/2)</f>
        <v>6010</v>
      </c>
      <c r="Q25" s="10">
        <f t="array" ref="Q25">SUMPRODUCT((Q5:Q20="P")*$B$5:$B$20)+SUMPRODUCT((Q5:Q20="P+1")*$B$5:$B$20*9/8)+SUMPRODUCT((Q5:Q20="H")*$B$5:$B$20/2)</f>
        <v>4745</v>
      </c>
      <c r="R25" s="10">
        <f t="array" ref="R25">SUMPRODUCT((R5:R20="P")*$B$5:$B$20)+SUMPRODUCT((R5:R20="P+1")*$B$5:$B$20*9/8)+SUMPRODUCT((R5:R20="H")*$B$5:$B$20/2)</f>
        <v>4990</v>
      </c>
      <c r="S25" s="10">
        <f t="array" ref="S25">SUMPRODUCT((S5:S20="P")*$B$5:$B$20)+SUMPRODUCT((S5:S20="P+1")*$B$5:$B$20*9/8)+SUMPRODUCT((S5:S20="H")*$B$5:$B$20/2)</f>
        <v>4540</v>
      </c>
      <c r="T25" s="10">
        <f t="array" ref="T25">SUMPRODUCT((T5:T20="P")*$B$5:$B$20)+SUMPRODUCT((T5:T20="P+1")*$B$5:$B$20*9/8)+SUMPRODUCT((T5:T20="H")*$B$5:$B$20/2)</f>
        <v>4500</v>
      </c>
      <c r="U25" s="10">
        <f t="array" ref="U25">SUMPRODUCT((U5:U20="P")*$B$5:$B$20)+SUMPRODUCT((U5:U20="P+1")*$B$5:$B$20*9/8)+SUMPRODUCT((U5:U20="H")*$B$5:$B$20/2)</f>
        <v>5500</v>
      </c>
      <c r="V25" s="10">
        <f t="array" ref="V25">SUMPRODUCT((V5:V20="P")*$B$5:$B$20)+SUMPRODUCT((V5:V20="P+1")*$B$5:$B$20*9/8)+SUMPRODUCT((V5:V20="H")*$B$5:$B$20/2)</f>
        <v>0</v>
      </c>
      <c r="W25" s="10">
        <f t="array" ref="W25">SUMPRODUCT((W5:W20="P")*$B$5:$B$20)+SUMPRODUCT((W5:W20="P+1")*$B$5:$B$20*9/8)+SUMPRODUCT((W5:W20="H")*$B$5:$B$20/2)</f>
        <v>3980</v>
      </c>
      <c r="X25" s="10">
        <f t="array" ref="X25">SUMPRODUCT((X5:X20="P")*$B$5:$B$20)+SUMPRODUCT((X5:X20="P+1")*$B$5:$B$20*9/8)+SUMPRODUCT((X5:X20="H")*$B$5:$B$20/2)</f>
        <v>3880</v>
      </c>
      <c r="Y25" s="10">
        <f t="array" ref="Y25">SUMPRODUCT((Y5:Y20="P")*$B$5:$B$20)+SUMPRODUCT((Y5:Y20="P+1")*$B$5:$B$20*9/8)+SUMPRODUCT((Y5:Y20="H")*$B$5:$B$20/2)</f>
        <v>3470</v>
      </c>
      <c r="Z25" s="10">
        <f t="array" ref="Z25">SUMPRODUCT((Z5:Z20="P")*$B$5:$B$20)+SUMPRODUCT((Z5:Z20="P+1")*$B$5:$B$20*9/8)+SUMPRODUCT((Z5:Z20="H")*$B$5:$B$20/2)</f>
        <v>5315</v>
      </c>
      <c r="AA25" s="10">
        <f t="array" ref="AA25">SUMPRODUCT((AA5:AA20="P")*$B$5:$B$20)+SUMPRODUCT((AA5:AA20="P+1")*$B$5:$B$20*9/8)+SUMPRODUCT((AA5:AA20="H")*$B$5:$B$20/2)</f>
        <v>4600</v>
      </c>
      <c r="AB25" s="10">
        <f t="array" ref="AB25">SUMPRODUCT((AB5:AB20="P")*$B$5:$B$20)+SUMPRODUCT((AB5:AB20="P+1")*$B$5:$B$20*9/8)+SUMPRODUCT((AB5:AB20="H")*$B$5:$B$20/2)</f>
        <v>5970</v>
      </c>
      <c r="AC25" s="10">
        <f t="array" ref="AC25">SUMPRODUCT((AC5:AC20="P")*$B$5:$B$20)+SUMPRODUCT((AC5:AC20="P+1")*$B$5:$B$20*9/8)+SUMPRODUCT((AC5:AC20="H")*$B$5:$B$20/2)</f>
        <v>0</v>
      </c>
      <c r="AD25" s="10">
        <f t="array" ref="AD25">SUMPRODUCT((AD5:AD20="P")*$B$5:$B$20)+SUMPRODUCT((AD5:AD20="P+1")*$B$5:$B$20*9/8)+SUMPRODUCT((AD5:AD20="H")*$B$5:$B$20/2)</f>
        <v>6000</v>
      </c>
      <c r="AE25" s="10">
        <f t="array" ref="AE25">SUMPRODUCT((AE5:AE20="P")*$B$5:$B$20)+SUMPRODUCT((AE5:AE20="P+1")*$B$5:$B$20*9/8)+SUMPRODUCT((AE5:AE20="H")*$B$5:$B$20/2)</f>
        <v>4925</v>
      </c>
      <c r="AF25" s="10">
        <f t="array" ref="AF25">SUMPRODUCT((AF5:AF20="P")*$B$5:$B$20)+SUMPRODUCT((AF5:AF20="P+1")*$B$5:$B$20*9/8)+SUMPRODUCT((AF5:AF20="H")*$B$5:$B$20/2)</f>
        <v>0</v>
      </c>
      <c r="AG25" s="10">
        <f t="array" ref="AG25">SUMPRODUCT((AG5:AG20="P")*$B$5:$B$20)+SUMPRODUCT((AG5:AG20="P+1")*$B$5:$B$20*9/8)+SUMPRODUCT((AG5:AG20="H")*$B$5:$B$20/2)</f>
        <v>0</v>
      </c>
      <c r="AH25" s="10"/>
      <c r="AI25" s="10"/>
      <c r="AJ25" s="10"/>
      <c r="AK25" s="10"/>
    </row>
    <row r="31" spans="4:35" x14ac:dyDescent="0.15">
      <c r="D31" s="2">
        <f>SUM(C25:AG25)</f>
        <v>115531.25</v>
      </c>
      <c r="AI31" s="6"/>
    </row>
  </sheetData>
  <mergeCells count="1">
    <mergeCell ref="A1:AK1"/>
  </mergeCells>
  <phoneticPr fontId="0" type="noConversion"/>
  <dataValidations count="2">
    <dataValidation type="list" sqref="D2">
      <formula1>"January,February,March,April,May,June,July,August,September,October,November,December"</formula1>
    </dataValidation>
    <dataValidation type="list" sqref="B2">
      <formula1>"2.02420252026202E27"</formula1>
    </dataValidation>
  </dataValidations>
  <pageMargins left="0.7499062639521802" right="0.7499062639521802" top="0.9998749560258521" bottom="0.9998749560258521" header="0.49993747801292604" footer="0.49993747801292604"/>
  <pageSetup paperSize="1" fitToWidth="0" fitToHeigh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outlinePr showOutlineSymbols="1"/>
  </sheetPr>
  <dimension ref="A1:A8"/>
  <sheetViews>
    <sheetView zoomScale="42" zoomScaleNormal="42" topLeftCell="A1" workbookViewId="0">
      <selection activeCell="A1" activeCellId="0" sqref="A1"/>
    </sheetView>
  </sheetViews>
  <sheetFormatPr defaultRowHeight="15.0" defaultColWidth="15.5" x14ac:dyDescent="0.15"/>
  <cols>
    <col min="1" max="1" width="142.5" customWidth="1" style="2"/>
  </cols>
  <sheetData>
    <row r="1" spans="1:1" ht="18.749714" customHeight="1" x14ac:dyDescent="0.15">
      <c r="A1" s="4" t="s">
        <v>67</v>
      </c>
    </row>
    <row r="2" spans="1:1" ht="29.999542" customHeight="1" x14ac:dyDescent="0.15">
      <c r="A2" s="5" t="s">
        <v>68</v>
      </c>
    </row>
    <row r="3" spans="1:1" x14ac:dyDescent="0.15">
      <c r="A3" s="2" t="s">
        <v>69</v>
      </c>
    </row>
    <row r="4" spans="1:1" x14ac:dyDescent="0.15">
      <c r="A4" s="2" t="s">
        <v>70</v>
      </c>
    </row>
    <row r="5" spans="1:1" x14ac:dyDescent="0.15">
      <c r="A5" s="2" t="s">
        <v>71</v>
      </c>
    </row>
    <row r="6" spans="1:1" x14ac:dyDescent="0.15">
      <c r="A6" s="2" t="s">
        <v>72</v>
      </c>
    </row>
    <row r="7" spans="1:1" x14ac:dyDescent="0.15">
      <c r="A7" s="2" t="s">
        <v>73</v>
      </c>
    </row>
    <row r="8" spans="1:1" x14ac:dyDescent="0.15">
      <c r="A8" s="2" t="s">
        <v>74</v>
      </c>
    </row>
  </sheetData>
  <phoneticPr fontId="0" type="noConversion"/>
  <pageMargins left="0.7499062639521802" right="0.7499062639521802" top="0.9998749560258521" bottom="0.9998749560258521" header="0.49993747801292604" footer="0.49993747801292604"/>
  <pageSetup paperSize="0" fitToWidth="0" fitToHeight="0"/>
</worksheet>
</file>

<file path=docProps/app.xml><?xml version="1.0" encoding="utf-8"?>
<Properties xmlns="http://schemas.openxmlformats.org/officeDocument/2006/extended-properties">
  <Template>Normal.eit</Template>
  <TotalTime>11</TotalTime>
  <Application>Yozo_Office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http://purl.org/dc/elements/1.1/openpyxl</dc:creator>
  <cp:lastModifiedBy>root</cp:lastModifiedBy>
  <cp:revision>0</cp:revision>
  <dcterms:created xsi:type="dcterms:W3CDTF">2026-09-03T21:36:13Z</dcterms:created>
  <dcterms:modified xsi:type="dcterms:W3CDTF">2026-09-29T11:12:29Z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fmtid="{D5CDD505-2E9C-101B-9397-08002B2CF9AE}" pid="2" name="ICV">
    <vt:lpwstr>a4169d39ffee467a95efa1dff13ccc07_22</vt:lpwstr>
  </property>
</Properties>
</file>