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0348035E-BF24-E348-9B37-7ED69ED0DE21}" xr6:coauthVersionLast="47" xr6:coauthVersionMax="47" xr10:uidLastSave="{00000000-0000-0000-0000-000000000000}"/>
  <workbookProtection workbookAlgorithmName="SHA-512" workbookHashValue="cGOIdAgHHkLAA7r9Sz5XuT/yk+LOhlvXwXp3ooBaEw1JXnganD5KsnKeSkdWq+CaJB33t+2HFd7rWzK29u0vuQ==" workbookSaltValue="YkYhGRU3qoMzbKivmTBKIg==" workbookSpinCount="100000" lockStructure="1"/>
  <bookViews>
    <workbookView xWindow="0" yWindow="0" windowWidth="0" windowHeight="0" xr2:uid="{00000000-000D-0000-FFFF-FFFF00000000}"/>
  </bookViews>
  <sheets>
    <sheet name="September Attendance" sheetId="1" r:id="rId1"/>
    <sheet name="Instructions" sheetId="2" r:id="rId2"/>
  </sheets>
  <definedNames>
    <definedName name="_xlnm._FilterDatabase" localSheetId="0" hidden="1">'September Attendance'!$AH$4:$AK$25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1" l="1"/>
  <c r="AJ8" i="1"/>
  <c r="AH8" i="1"/>
  <c r="AK8" i="1"/>
  <c r="AL8" i="1" a="1"/>
  <c r="AL8" i="1"/>
  <c r="AI20" i="1"/>
  <c r="AJ20" i="1"/>
  <c r="AH20" i="1"/>
  <c r="AK20" i="1"/>
  <c r="AL20" i="1" a="1"/>
  <c r="AL20" i="1"/>
  <c r="AI19" i="1"/>
  <c r="AJ19" i="1"/>
  <c r="AH19" i="1"/>
  <c r="AK19" i="1"/>
  <c r="AL19" i="1" a="1"/>
  <c r="AL19" i="1"/>
  <c r="AI18" i="1"/>
  <c r="AJ18" i="1"/>
  <c r="AH18" i="1"/>
  <c r="AK18" i="1"/>
  <c r="AL18" i="1" a="1"/>
  <c r="AL18" i="1"/>
  <c r="AI17" i="1"/>
  <c r="AJ17" i="1"/>
  <c r="AH17" i="1"/>
  <c r="AK17" i="1"/>
  <c r="AL17" i="1" a="1"/>
  <c r="AL17" i="1"/>
  <c r="AI16" i="1"/>
  <c r="AJ16" i="1"/>
  <c r="AH16" i="1"/>
  <c r="AK16" i="1"/>
  <c r="AL16" i="1" a="1"/>
  <c r="AL16" i="1"/>
  <c r="AI15" i="1"/>
  <c r="AJ15" i="1"/>
  <c r="AH15" i="1"/>
  <c r="AK15" i="1"/>
  <c r="AL15" i="1" a="1"/>
  <c r="AL15" i="1"/>
  <c r="AI14" i="1"/>
  <c r="AJ14" i="1"/>
  <c r="AH14" i="1"/>
  <c r="AK14" i="1"/>
  <c r="AL14" i="1" a="1"/>
  <c r="AL14" i="1"/>
  <c r="AI13" i="1"/>
  <c r="AJ13" i="1"/>
  <c r="AH13" i="1"/>
  <c r="AK13" i="1"/>
  <c r="AL13" i="1" a="1"/>
  <c r="AL13" i="1"/>
  <c r="AI12" i="1"/>
  <c r="AJ12" i="1"/>
  <c r="AH12" i="1"/>
  <c r="AK12" i="1"/>
  <c r="AL12" i="1" a="1"/>
  <c r="AL12" i="1"/>
  <c r="AI11" i="1"/>
  <c r="AJ11" i="1"/>
  <c r="AH11" i="1"/>
  <c r="AK11" i="1"/>
  <c r="AL11" i="1" a="1"/>
  <c r="AL11" i="1"/>
  <c r="AI10" i="1"/>
  <c r="AJ10" i="1"/>
  <c r="AH10" i="1"/>
  <c r="AK10" i="1"/>
  <c r="AL10" i="1" a="1"/>
  <c r="AL10" i="1"/>
  <c r="AI9" i="1"/>
  <c r="AJ9" i="1"/>
  <c r="AH9" i="1"/>
  <c r="AK9" i="1"/>
  <c r="AL9" i="1" a="1"/>
  <c r="AL9" i="1"/>
  <c r="AI7" i="1"/>
  <c r="AJ7" i="1"/>
  <c r="AH7" i="1"/>
  <c r="AK7" i="1"/>
  <c r="AL7" i="1" a="1"/>
  <c r="AL7" i="1"/>
  <c r="AI6" i="1"/>
  <c r="AJ6" i="1"/>
  <c r="AH6" i="1"/>
  <c r="AK6" i="1"/>
  <c r="AL6" i="1" a="1"/>
  <c r="AL6" i="1"/>
  <c r="AI5" i="1"/>
  <c r="AJ5" i="1"/>
  <c r="AH5" i="1"/>
  <c r="AK5" i="1"/>
  <c r="AL5" i="1" a="1"/>
  <c r="AL5" i="1"/>
  <c r="AK24" i="1"/>
  <c r="AG25" i="1" a="1"/>
  <c r="AG25" i="1"/>
  <c r="AF25" i="1" a="1"/>
  <c r="AF25" i="1"/>
  <c r="AE25" i="1" a="1"/>
  <c r="AE25" i="1"/>
  <c r="AD25" i="1" a="1"/>
  <c r="AD25" i="1"/>
  <c r="AC25" i="1" a="1"/>
  <c r="AC25" i="1"/>
  <c r="AB25" i="1" a="1"/>
  <c r="AB25" i="1"/>
  <c r="AA25" i="1" a="1"/>
  <c r="AA25" i="1"/>
  <c r="Z25" i="1" a="1"/>
  <c r="Z25" i="1"/>
  <c r="Y25" i="1" a="1"/>
  <c r="Y25" i="1"/>
  <c r="X25" i="1" a="1"/>
  <c r="X25" i="1"/>
  <c r="W25" i="1" a="1"/>
  <c r="W25" i="1"/>
  <c r="V25" i="1" a="1"/>
  <c r="V25" i="1"/>
  <c r="U25" i="1" a="1"/>
  <c r="U25" i="1"/>
  <c r="T25" i="1" a="1"/>
  <c r="T25" i="1"/>
  <c r="S25" i="1" a="1"/>
  <c r="S25" i="1"/>
  <c r="R25" i="1" a="1"/>
  <c r="R25" i="1"/>
  <c r="Q25" i="1" a="1"/>
  <c r="Q25" i="1"/>
  <c r="P25" i="1" a="1"/>
  <c r="P25" i="1"/>
  <c r="O25" i="1" a="1"/>
  <c r="O25" i="1"/>
  <c r="N25" i="1" a="1"/>
  <c r="N25" i="1"/>
  <c r="M25" i="1" a="1"/>
  <c r="M25" i="1"/>
  <c r="L25" i="1" a="1"/>
  <c r="L25" i="1"/>
  <c r="K25" i="1" a="1"/>
  <c r="K25" i="1"/>
  <c r="J25" i="1" a="1"/>
  <c r="J25" i="1"/>
  <c r="I25" i="1" a="1"/>
  <c r="I25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D31" i="1"/>
  <c r="AI23" i="1"/>
  <c r="C4" i="1"/>
  <c r="AG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<sst xmlns="http://schemas.openxmlformats.org/spreadsheetml/2006/main" count="438" uniqueCount="45">
  <si>
    <t>YEAR</t>
  </si>
  <si>
    <t>MONTH</t>
  </si>
  <si>
    <t>September</t>
  </si>
  <si>
    <t>Select Year &amp; Month → dates below change automatically</t>
  </si>
  <si>
    <t>Employee</t>
  </si>
  <si>
    <t>Daily Wage</t>
  </si>
  <si>
    <t>VICKRAM</t>
  </si>
  <si>
    <t>H</t>
  </si>
  <si>
    <t>P+1</t>
  </si>
  <si>
    <t>P</t>
  </si>
  <si>
    <t>-</t>
  </si>
  <si>
    <t>VISHU</t>
  </si>
  <si>
    <t>GURDEEP</t>
  </si>
  <si>
    <t>SAHIL</t>
  </si>
  <si>
    <t>—</t>
  </si>
  <si>
    <t>VICKY</t>
  </si>
  <si>
    <t>AMAN</t>
  </si>
  <si>
    <t>GIRDHARI</t>
  </si>
  <si>
    <t>UTTAM</t>
  </si>
  <si>
    <t>RAHUL</t>
  </si>
  <si>
    <t>OM PRAKASH</t>
  </si>
  <si>
    <t>VARUN</t>
  </si>
  <si>
    <t>GOKUL</t>
  </si>
  <si>
    <t>RAKESH SINGH</t>
  </si>
  <si>
    <t>RAKESH SHARMA</t>
  </si>
  <si>
    <t>TOTAL OT (HRS)</t>
  </si>
  <si>
    <t>TOTAL MONTHLY WAGE</t>
  </si>
  <si>
    <t>TOTAL DAILY WAGE</t>
  </si>
  <si>
    <t>Attendance Sheet – Year/Month Selector</t>
  </si>
  <si>
    <t>Use the YEAR and MONTH dropdowns at the top of the Attendance sheet. The date headings update automatically; existing attendance and wage formulas are retained.</t>
  </si>
  <si>
    <t>P+1 = Present + 1 OT hour</t>
  </si>
  <si>
    <t>P+2 = Present + 2 OT hours</t>
  </si>
  <si>
    <t>H+1 = Half Day + 1 OT hour</t>
  </si>
  <si>
    <t>A / — = Absent</t>
  </si>
  <si>
    <t>OT rate = Daily Wage / 8</t>
  </si>
  <si>
    <t>Monthly Wage is automatic</t>
  </si>
  <si>
    <t xml:space="preserve">Total Present days </t>
  </si>
  <si>
    <t>TOTAL DAILY  PRESENT</t>
  </si>
  <si>
    <t>TOTAL OT (Hrs)</t>
  </si>
  <si>
    <t>OT Wages</t>
  </si>
  <si>
    <t>SUDESH SINGH</t>
  </si>
  <si>
    <t>X</t>
  </si>
  <si>
    <t xml:space="preserve">X </t>
  </si>
  <si>
    <t>VIJAY</t>
  </si>
  <si>
    <t xml:space="preserve">QR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</si>
</sst>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Calibri"/>
    </font>
    <font>
      <b/>
      <sz val="14"/>
      <name val="Calibri"/>
    </font>
    <font>
      <b/>
      <sz val="12"/>
      <name val="Droid Sans"/>
      <charset val="134"/>
    </font>
    <font>
      <b/>
      <sz val="12"/>
      <name val="Calibri"/>
    </font>
    <font>
      <sz val="12"/>
      <name val="Calibri"/>
    </font>
    <font>
      <b/>
      <sz val="12"/>
      <color rgb="FFFFFFFF"/>
      <name val="Calibri"/>
    </font>
    <font>
      <i/>
      <sz val="12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D9EA"/>
        <bgColor indexed="64"/>
      </patternFill>
    </fill>
    <fill>
      <patternFill patternType="solid">
        <fgColor rgb="FF00E2F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2" fillId="0" borderId="0" xfId="0" applyFont="1" applyAlignment="1"/>
    <xf numFmtId="0" fontId="1" fillId="0" borderId="0" xfId="0" applyFont="1" applyAlignment="1">
      <alignment vertical="top" wrapText="1"/>
    </xf>
    <xf numFmtId="0" fontId="0" fillId="7" borderId="0" xfId="0" applyFill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/>
    <xf numFmtId="0" fontId="7" fillId="0" borderId="0" xfId="0" applyFont="1" applyAlignment="1"/>
    <xf numFmtId="0" fontId="5" fillId="7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4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theme" Target="theme/theme1.xml" /><Relationship Id="rId7" Type="http://schemas.microsoft.com/office/2017/06/relationships/rdRichValue" Target="richData/rdrichvalue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10" Type="http://schemas.openxmlformats.org/officeDocument/2006/relationships/calcChain" Target="calcChain.xml" /><Relationship Id="rId4" Type="http://schemas.openxmlformats.org/officeDocument/2006/relationships/styles" Target="styles.xml" /><Relationship Id="rId9" Type="http://schemas.microsoft.com/office/2017/06/relationships/rdRichValueTypes" Target="richData/rdRichValueTypes.xml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"/>
  <sheetViews>
    <sheetView tabSelected="1" zoomScale="45" workbookViewId="0">
      <pane xSplit="1" ySplit="1" topLeftCell="AK2" activePane="bottomRight" state="frozen"/>
      <selection activeCell="AL4" sqref="AL4:AL20"/>
      <selection pane="bottomLeft" activeCell="A2" sqref="A2"/>
      <selection pane="topRight" activeCell="AH1" sqref="AH1"/>
      <selection pane="bottomRight" activeCell="AF6" sqref="AF6"/>
    </sheetView>
  </sheetViews>
  <sheetFormatPr defaultColWidth="11.02734375" defaultRowHeight="15" x14ac:dyDescent="0.2"/>
  <cols>
    <col min="1" max="1" width="25.55859375" style="2" customWidth="1"/>
    <col min="2" max="2" width="17.08203125" style="2" customWidth="1"/>
    <col min="3" max="3" width="11.43359375" style="2" customWidth="1"/>
    <col min="4" max="4" width="14.9296875" style="2" customWidth="1"/>
    <col min="5" max="32" width="11.43359375" style="2" customWidth="1"/>
    <col min="33" max="33" width="9.14453125" style="2" customWidth="1"/>
    <col min="34" max="34" width="17.3515625" style="2" customWidth="1"/>
    <col min="35" max="36" width="21.38671875" style="2" customWidth="1"/>
    <col min="37" max="37" width="23.67578125" style="2" customWidth="1"/>
    <col min="38" max="38" width="14.9296875" customWidth="1"/>
  </cols>
  <sheetData>
    <row r="1" spans="1:38" ht="19.5" customHeight="1" x14ac:dyDescent="0.2">
      <c r="A1" s="24" t="str">
        <f>"MS SURINDER KUMAR - "&amp;UPPER(TEXT(DATE($B$2,MATCH($D$2,{"January","February","March","April","May","June","July","August","September","October","November","December"},0),1),"mmmm yyyy"))&amp;" ATTENDANCE"</f>
        <v>MS SURINDER KUMAR - SEPTEMBER 2026 ATTENDANCE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8" s="15" customFormat="1" ht="24" customHeight="1" x14ac:dyDescent="0.2">
      <c r="A2" s="16" t="s">
        <v>0</v>
      </c>
      <c r="B2" s="17">
        <v>2026</v>
      </c>
      <c r="C2" s="16" t="s">
        <v>1</v>
      </c>
      <c r="D2" s="17" t="s">
        <v>2</v>
      </c>
      <c r="E2" s="18"/>
      <c r="F2" s="19" t="s">
        <v>3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 spans="1:38" x14ac:dyDescent="0.2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8" s="15" customFormat="1" ht="15.6" customHeight="1" x14ac:dyDescent="0.2">
      <c r="A4" s="12" t="s">
        <v>4</v>
      </c>
      <c r="B4" s="12" t="s">
        <v>5</v>
      </c>
      <c r="C4" s="12" t="str">
        <f>IF(1&lt;=DAY(DATE($B$2,MATCH($D$2,{"January","February","March","April","May","June","July","August","September","October","November","December"},0)+1,0)),1&amp;"-"&amp;TEXT(DATE($B$2,MATCH($D$2,{"January","February","March","April","May","June","July","August","September","October","November","December"},0),1),"mmm"),"")</f>
        <v>1-Sep</v>
      </c>
      <c r="D4" s="12" t="str">
        <f>IF(2&lt;=DAY(DATE($B$2,MATCH($D$2,{"January","February","March","April","May","June","July","August","September","October","November","December"},0)+1,0)),2&amp;"-"&amp;TEXT(DATE($B$2,MATCH($D$2,{"January","February","March","April","May","June","July","August","September","October","November","December"},0),2),"mmm"),"")</f>
        <v>2-Sep</v>
      </c>
      <c r="E4" s="12" t="str">
        <f>IF(3&lt;=DAY(DATE($B$2,MATCH($D$2,{"January","February","March","April","May","June","July","August","September","October","November","December"},0)+1,0)),3&amp;"-"&amp;TEXT(DATE($B$2,MATCH($D$2,{"January","February","March","April","May","June","July","August","September","October","November","December"},0),3),"mmm"),"")</f>
        <v>3-Sep</v>
      </c>
      <c r="F4" s="12" t="str">
        <f>IF(4&lt;=DAY(DATE($B$2,MATCH($D$2,{"January","February","March","April","May","June","July","August","September","October","November","December"},0)+1,0)),4&amp;"-"&amp;TEXT(DATE($B$2,MATCH($D$2,{"January","February","March","April","May","June","July","August","September","October","November","December"},0),4),"mmm"),"")</f>
        <v>4-Sep</v>
      </c>
      <c r="G4" s="12" t="str">
        <f>IF(5&lt;=DAY(DATE($B$2,MATCH($D$2,{"January","February","March","April","May","June","July","August","September","October","November","December"},0)+1,0)),5&amp;"-"&amp;TEXT(DATE($B$2,MATCH($D$2,{"January","February","March","April","May","June","July","August","September","October","November","December"},0),5),"mmm"),"")</f>
        <v>5-Sep</v>
      </c>
      <c r="H4" s="12" t="str">
        <f>IF(6&lt;=DAY(DATE($B$2,MATCH($D$2,{"January","February","March","April","May","June","July","August","September","October","November","December"},0)+1,0)),6&amp;"-"&amp;TEXT(DATE($B$2,MATCH($D$2,{"January","February","March","April","May","June","July","August","September","October","November","December"},0),6),"mmm"),"")</f>
        <v>6-Sep</v>
      </c>
      <c r="I4" s="12" t="str">
        <f>IF(7&lt;=DAY(DATE($B$2,MATCH($D$2,{"January","February","March","April","May","June","July","August","September","October","November","December"},0)+1,0)),7&amp;"-"&amp;TEXT(DATE($B$2,MATCH($D$2,{"January","February","March","April","May","June","July","August","September","October","November","December"},0),7),"mmm"),"")</f>
        <v>7-Sep</v>
      </c>
      <c r="J4" s="12" t="str">
        <f>IF(8&lt;=DAY(DATE($B$2,MATCH($D$2,{"January","February","March","April","May","June","July","August","September","October","November","December"},0)+1,0)),8&amp;"-"&amp;TEXT(DATE($B$2,MATCH($D$2,{"January","February","March","April","May","June","July","August","September","October","November","December"},0),8),"mmm"),"")</f>
        <v>8-Sep</v>
      </c>
      <c r="K4" s="12" t="str">
        <f>IF(9&lt;=DAY(DATE($B$2,MATCH($D$2,{"January","February","March","April","May","June","July","August","September","October","November","December"},0)+1,0)),9&amp;"-"&amp;TEXT(DATE($B$2,MATCH($D$2,{"January","February","March","April","May","June","July","August","September","October","November","December"},0),9),"mmm"),"")</f>
        <v>9-Sep</v>
      </c>
      <c r="L4" s="12" t="str">
        <f>IF(10&lt;=DAY(DATE($B$2,MATCH($D$2,{"January","February","March","April","May","June","July","August","September","October","November","December"},0)+1,0)),10&amp;"-"&amp;TEXT(DATE($B$2,MATCH($D$2,{"January","February","March","April","May","June","July","August","September","October","November","December"},0),10),"mmm"),"")</f>
        <v>10-Sep</v>
      </c>
      <c r="M4" s="12" t="str">
        <f>IF(11&lt;=DAY(DATE($B$2,MATCH($D$2,{"January","February","March","April","May","June","July","August","September","October","November","December"},0)+1,0)),11&amp;"-"&amp;TEXT(DATE($B$2,MATCH($D$2,{"January","February","March","April","May","June","July","August","September","October","November","December"},0),11),"mmm"),"")</f>
        <v>11-Sep</v>
      </c>
      <c r="N4" s="12" t="str">
        <f>IF(12&lt;=DAY(DATE($B$2,MATCH($D$2,{"January","February","March","April","May","June","July","August","September","October","November","December"},0)+1,0)),12&amp;"-"&amp;TEXT(DATE($B$2,MATCH($D$2,{"January","February","March","April","May","June","July","August","September","October","November","December"},0),12),"mmm"),"")</f>
        <v>12-Sep</v>
      </c>
      <c r="O4" s="12" t="str">
        <f>IF(13&lt;=DAY(DATE($B$2,MATCH($D$2,{"January","February","March","April","May","June","July","August","September","October","November","December"},0)+1,0)),13&amp;"-"&amp;TEXT(DATE($B$2,MATCH($D$2,{"January","February","March","April","May","June","July","August","September","October","November","December"},0),13),"mmm"),"")</f>
        <v>13-Sep</v>
      </c>
      <c r="P4" s="12" t="str">
        <f>IF(14&lt;=DAY(DATE($B$2,MATCH($D$2,{"January","February","March","April","May","June","July","August","September","October","November","December"},0)+1,0)),14&amp;"-"&amp;TEXT(DATE($B$2,MATCH($D$2,{"January","February","March","April","May","June","July","August","September","October","November","December"},0),14),"mmm"),"")</f>
        <v>14-Sep</v>
      </c>
      <c r="Q4" s="12" t="str">
        <f>IF(15&lt;=DAY(DATE($B$2,MATCH($D$2,{"January","February","March","April","May","June","July","August","September","October","November","December"},0)+1,0)),15&amp;"-"&amp;TEXT(DATE($B$2,MATCH($D$2,{"January","February","March","April","May","June","July","August","September","October","November","December"},0),15),"mmm"),"")</f>
        <v>15-Sep</v>
      </c>
      <c r="R4" s="12" t="str">
        <f>IF(16&lt;=DAY(DATE($B$2,MATCH($D$2,{"January","February","March","April","May","June","July","August","September","October","November","December"},0)+1,0)),16&amp;"-"&amp;TEXT(DATE($B$2,MATCH($D$2,{"January","February","March","April","May","June","July","August","September","October","November","December"},0),16),"mmm"),"")</f>
        <v>16-Sep</v>
      </c>
      <c r="S4" s="12" t="str">
        <f>IF(17&lt;=DAY(DATE($B$2,MATCH($D$2,{"January","February","March","April","May","June","July","August","September","October","November","December"},0)+1,0)),17&amp;"-"&amp;TEXT(DATE($B$2,MATCH($D$2,{"January","February","March","April","May","June","July","August","September","October","November","December"},0),17),"mmm"),"")</f>
        <v>17-Sep</v>
      </c>
      <c r="T4" s="12" t="str">
        <f>IF(18&lt;=DAY(DATE($B$2,MATCH($D$2,{"January","February","March","April","May","June","July","August","September","October","November","December"},0)+1,0)),18&amp;"-"&amp;TEXT(DATE($B$2,MATCH($D$2,{"January","February","March","April","May","June","July","August","September","October","November","December"},0),18),"mmm"),"")</f>
        <v>18-Sep</v>
      </c>
      <c r="U4" s="12" t="str">
        <f>IF(19&lt;=DAY(DATE($B$2,MATCH($D$2,{"January","February","March","April","May","June","July","August","September","October","November","December"},0)+1,0)),19&amp;"-"&amp;TEXT(DATE($B$2,MATCH($D$2,{"January","February","March","April","May","June","July","August","September","October","November","December"},0),19),"mmm"),"")</f>
        <v>19-Sep</v>
      </c>
      <c r="V4" s="12" t="str">
        <f>IF(20&lt;=DAY(DATE($B$2,MATCH($D$2,{"January","February","March","April","May","June","July","August","September","October","November","December"},0)+1,0)),20&amp;"-"&amp;TEXT(DATE($B$2,MATCH($D$2,{"January","February","March","April","May","June","July","August","September","October","November","December"},0),20),"mmm"),"")</f>
        <v>20-Sep</v>
      </c>
      <c r="W4" s="12" t="str">
        <f>IF(21&lt;=DAY(DATE($B$2,MATCH($D$2,{"January","February","March","April","May","June","July","August","September","October","November","December"},0)+1,0)),21&amp;"-"&amp;TEXT(DATE($B$2,MATCH($D$2,{"January","February","March","April","May","June","July","August","September","October","November","December"},0),21),"mmm"),"")</f>
        <v>21-Sep</v>
      </c>
      <c r="X4" s="12" t="str">
        <f>IF(22&lt;=DAY(DATE($B$2,MATCH($D$2,{"January","February","March","April","May","June","July","August","September","October","November","December"},0)+1,0)),22&amp;"-"&amp;TEXT(DATE($B$2,MATCH($D$2,{"January","February","March","April","May","June","July","August","September","October","November","December"},0),22),"mmm"),"")</f>
        <v>22-Sep</v>
      </c>
      <c r="Y4" s="12" t="str">
        <f>IF(23&lt;=DAY(DATE($B$2,MATCH($D$2,{"January","February","March","April","May","June","July","August","September","October","November","December"},0)+1,0)),23&amp;"-"&amp;TEXT(DATE($B$2,MATCH($D$2,{"January","February","March","April","May","June","July","August","September","October","November","December"},0),23),"mmm"),"")</f>
        <v>23-Sep</v>
      </c>
      <c r="Z4" s="12" t="str">
        <f>IF(24&lt;=DAY(DATE($B$2,MATCH($D$2,{"January","February","March","April","May","June","July","August","September","October","November","December"},0)+1,0)),24&amp;"-"&amp;TEXT(DATE($B$2,MATCH($D$2,{"January","February","March","April","May","June","July","August","September","October","November","December"},0),24),"mmm"),"")</f>
        <v>24-Sep</v>
      </c>
      <c r="AA4" s="12" t="str">
        <f>IF(25&lt;=DAY(DATE($B$2,MATCH($D$2,{"January","February","March","April","May","June","July","August","September","October","November","December"},0)+1,0)),25&amp;"-"&amp;TEXT(DATE($B$2,MATCH($D$2,{"January","February","March","April","May","June","July","August","September","October","November","December"},0),25),"mmm"),"")</f>
        <v>25-Sep</v>
      </c>
      <c r="AB4" s="12" t="str">
        <f>IF(26&lt;=DAY(DATE($B$2,MATCH($D$2,{"January","February","March","April","May","June","July","August","September","October","November","December"},0)+1,0)),26&amp;"-"&amp;TEXT(DATE($B$2,MATCH($D$2,{"January","February","March","April","May","June","July","August","September","October","November","December"},0),26),"mmm"),"")</f>
        <v>26-Sep</v>
      </c>
      <c r="AC4" s="12" t="str">
        <f>IF(27&lt;=DAY(DATE($B$2,MATCH($D$2,{"January","February","March","April","May","June","July","August","September","October","November","December"},0)+1,0)),27&amp;"-"&amp;TEXT(DATE($B$2,MATCH($D$2,{"January","February","March","April","May","June","July","August","September","October","November","December"},0),27),"mmm"),"")</f>
        <v>27-Sep</v>
      </c>
      <c r="AD4" s="12" t="str">
        <f>IF(28&lt;=DAY(DATE($B$2,MATCH($D$2,{"January","February","March","April","May","June","July","August","September","October","November","December"},0)+1,0)),28&amp;"-"&amp;TEXT(DATE($B$2,MATCH($D$2,{"January","February","March","April","May","June","July","August","September","October","November","December"},0),28),"mmm"),"")</f>
        <v>28-Sep</v>
      </c>
      <c r="AE4" s="12" t="str">
        <f>IF(29&lt;=DAY(DATE($B$2,MATCH($D$2,{"January","February","March","April","May","June","July","August","September","October","November","December"},0)+1,0)),29&amp;"-"&amp;TEXT(DATE($B$2,MATCH($D$2,{"January","February","March","April","May","June","July","August","September","October","November","December"},0),29),"mmm"),"")</f>
        <v>29-Sep</v>
      </c>
      <c r="AF4" s="12" t="str">
        <f>IF(30&lt;=DAY(DATE($B$2,MATCH($D$2,{"January","February","March","April","May","June","July","August","September","October","November","December"},0)+1,0)),30&amp;"-"&amp;TEXT(DATE($B$2,MATCH($D$2,{"January","February","March","April","May","June","July","August","September","October","November","December"},0),30),"mmm"),"")</f>
        <v>30-Sep</v>
      </c>
      <c r="AG4" s="13" t="str">
        <f>IF(31&lt;=DAY(DATE($B$2,MATCH($D$2,{"January","February","March","April","May","June","July","August","September","October","November","December"},0)+1,0)),31&amp;"-"&amp;TEXT(DATE($B$2,MATCH($D$2,{"January","February","March","April","May","June","July","August","September","October","November","December"},0),31),"mmm"),"")</f>
        <v/>
      </c>
      <c r="AH4" s="14" t="s">
        <v>36</v>
      </c>
      <c r="AI4" s="14" t="s">
        <v>38</v>
      </c>
      <c r="AJ4" s="14" t="s">
        <v>39</v>
      </c>
      <c r="AK4" s="22" t="s">
        <v>26</v>
      </c>
      <c r="AL4" s="20" t="s">
        <v>44</v>
      </c>
    </row>
    <row r="5" spans="1:38" ht="15.6" customHeight="1" x14ac:dyDescent="0.2">
      <c r="A5" s="7" t="s">
        <v>6</v>
      </c>
      <c r="B5" s="8">
        <v>600</v>
      </c>
      <c r="C5" s="8" t="s">
        <v>7</v>
      </c>
      <c r="D5" s="8" t="s">
        <v>8</v>
      </c>
      <c r="E5" s="8" t="s">
        <v>9</v>
      </c>
      <c r="F5" s="8" t="s">
        <v>41</v>
      </c>
      <c r="G5" s="8" t="s">
        <v>10</v>
      </c>
      <c r="H5" s="8" t="s">
        <v>41</v>
      </c>
      <c r="I5" s="8" t="s">
        <v>9</v>
      </c>
      <c r="J5" s="8" t="s">
        <v>8</v>
      </c>
      <c r="K5" s="8" t="s">
        <v>8</v>
      </c>
      <c r="L5" s="8" t="s">
        <v>42</v>
      </c>
      <c r="M5" s="8" t="s">
        <v>10</v>
      </c>
      <c r="N5" s="8" t="s">
        <v>9</v>
      </c>
      <c r="O5" s="8" t="s">
        <v>9</v>
      </c>
      <c r="P5" s="8" t="s">
        <v>9</v>
      </c>
      <c r="Q5" s="8" t="s">
        <v>10</v>
      </c>
      <c r="R5" s="8" t="s">
        <v>9</v>
      </c>
      <c r="S5" s="8" t="s">
        <v>9</v>
      </c>
      <c r="T5" s="8" t="s">
        <v>9</v>
      </c>
      <c r="U5" s="8" t="s">
        <v>9</v>
      </c>
      <c r="V5" s="8" t="s">
        <v>41</v>
      </c>
      <c r="W5" s="8" t="s">
        <v>10</v>
      </c>
      <c r="X5" s="8" t="s">
        <v>10</v>
      </c>
      <c r="Y5" s="8" t="s">
        <v>10</v>
      </c>
      <c r="Z5" s="8" t="s">
        <v>9</v>
      </c>
      <c r="AA5" s="8" t="s">
        <v>9</v>
      </c>
      <c r="AB5" s="8" t="s">
        <v>9</v>
      </c>
      <c r="AC5" s="8"/>
      <c r="AD5" s="8"/>
      <c r="AE5" s="8"/>
      <c r="AF5" s="8"/>
      <c r="AG5" s="8"/>
      <c r="AH5" s="8">
        <f>COUNTIF(C5:AF5,"P*")+COUNTIF(C5:AF5,"H*")*0.5</f>
        <v>15.5</v>
      </c>
      <c r="AI5" s="9">
        <f>COUNTIF(C5:AG5,"P+1")*1+COUNTIF(C5:AG5,"H+1")*1+COUNTIF(C5:AF5,"P+2")*2+COUNTIF(C5:AF5,"H+2")*2+COUNTIF(C5:AF5,"P+3")*3+COUNTIF(C5:AF5,"H+3")*3+COUNTIF(C5:AF5,"P+4")*4+COUNTIF(C5:AF5,"H+4")*4+COUNTIF(C5:AF5,"P+5")*5+COUNTIF(C5:AF5,"H+5")*5+COUNTIF(C5:AF5,"P+6")*6+COUNTIF(C5:AF5,"H+6")*6+COUNTIF(C5:AF5,"P+7")*7+COUNTIF(C5:AF5,"H+7")*7+COUNTIF(C5:AF5,"P+8")*8+COUNTIF(C5:AF5,"H+8")*8+COUNTIF(C5:AF5,"P+9")*9+COUNTIF(C5:AF5,"H+9")*9+COUNTIF(C5:AF5,"P+10")*10+COUNTIF(C5:AF5,"H+10")*10</f>
        <v>3</v>
      </c>
      <c r="AJ5" s="9">
        <f>ROUND(AG5*B5+AI5*(B5/8),0)</f>
        <v>225</v>
      </c>
      <c r="AK5" s="23">
        <f>AH5*B5+AJ5</f>
        <v>9525</v>
      </c>
      <c r="AL5" s="21" t="e" cm="1" vm="1">
        <f t="array" aca="1" ref="AL5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"&amp;A5&amp;CHAR(10)&amp;"Month: "&amp;TEXT(C$4,"mmmm yyyy")&amp;CHAR(10)&amp;CHAR(10)&amp;_xlfn.TEXTJOIN(CHAR(10),TRUE,IF(C$4:AG$4&lt;&gt;"",TEXT(C$4:AG$4,"dd-mm-yyyy")&amp;" : "&amp;C5:AG5,""))&amp;CHAR(10)&amp;CHAR(10)&amp;"Total Present: "&amp;COUNTIF(C5:AG5,"P*")&amp;" Days"&amp;CHAR(10)&amp;"Total Half Day: "&amp;COUNTIF(C5:AG5,"H")&amp;" Days"&amp;CHAR(10)&amp;"Total OT Wage: Rs "&amp;AJ5&amp;CHAR(10)&amp;"Monthly Wage: Rs "&amp;AK5," ","%20"),CHAR(10),"%0A"))</f>
        <v>#VALUE!</v>
      </c>
    </row>
    <row r="6" spans="1:38" ht="15.6" customHeight="1" x14ac:dyDescent="0.2">
      <c r="A6" s="8" t="s">
        <v>11</v>
      </c>
      <c r="B6" s="8">
        <v>600</v>
      </c>
      <c r="C6" s="8" t="s">
        <v>9</v>
      </c>
      <c r="D6" s="8" t="s">
        <v>8</v>
      </c>
      <c r="E6" s="8" t="s">
        <v>9</v>
      </c>
      <c r="F6" s="8" t="s">
        <v>41</v>
      </c>
      <c r="G6" s="8" t="s">
        <v>9</v>
      </c>
      <c r="H6" s="8" t="s">
        <v>41</v>
      </c>
      <c r="I6" s="8" t="s">
        <v>9</v>
      </c>
      <c r="J6" s="8" t="s">
        <v>8</v>
      </c>
      <c r="K6" s="8" t="s">
        <v>8</v>
      </c>
      <c r="L6" s="8" t="s">
        <v>42</v>
      </c>
      <c r="M6" s="8" t="s">
        <v>8</v>
      </c>
      <c r="N6" s="8" t="s">
        <v>9</v>
      </c>
      <c r="O6" s="8" t="s">
        <v>9</v>
      </c>
      <c r="P6" s="8" t="s">
        <v>9</v>
      </c>
      <c r="Q6" s="8" t="s">
        <v>9</v>
      </c>
      <c r="R6" s="8" t="s">
        <v>9</v>
      </c>
      <c r="S6" s="8" t="s">
        <v>9</v>
      </c>
      <c r="T6" s="8" t="s">
        <v>9</v>
      </c>
      <c r="U6" s="8" t="s">
        <v>9</v>
      </c>
      <c r="V6" s="8" t="s">
        <v>41</v>
      </c>
      <c r="W6" s="8" t="s">
        <v>9</v>
      </c>
      <c r="X6" s="8" t="s">
        <v>10</v>
      </c>
      <c r="Y6" s="8" t="s">
        <v>9</v>
      </c>
      <c r="Z6" s="8" t="s">
        <v>9</v>
      </c>
      <c r="AA6" s="8" t="s">
        <v>9</v>
      </c>
      <c r="AB6" s="8" t="s">
        <v>9</v>
      </c>
      <c r="AC6" s="8"/>
      <c r="AD6" s="8"/>
      <c r="AE6" s="8"/>
      <c r="AF6" s="8"/>
      <c r="AG6" s="8"/>
      <c r="AH6" s="8">
        <f t="shared" ref="AH6:AH20" si="0">COUNTIF(C6:AF6,"P*")+COUNTIF(C6:AF6,"H*")*0.5</f>
        <v>21</v>
      </c>
      <c r="AI6" s="9">
        <f t="shared" ref="AI6:AI20" si="1">COUNTIF(C6:AG6,"P+1")*1+COUNTIF(C6:AG6,"H+1")*1+COUNTIF(C6:AF6,"P+2")*2+COUNTIF(C6:AF6,"H+2")*2+COUNTIF(C6:AF6,"P+3")*3+COUNTIF(C6:AF6,"H+3")*3+COUNTIF(C6:AF6,"P+4")*4+COUNTIF(C6:AF6,"H+4")*4+COUNTIF(C6:AF6,"P+5")*5+COUNTIF(C6:AF6,"H+5")*5+COUNTIF(C6:AF6,"P+6")*6+COUNTIF(C6:AF6,"H+6")*6+COUNTIF(C6:AF6,"P+7")*7+COUNTIF(C6:AF6,"H+7")*7+COUNTIF(C6:AF6,"P+8")*8+COUNTIF(C6:AF6,"H+8")*8+COUNTIF(C6:AF6,"P+9")*9+COUNTIF(C6:AF6,"H+9")*9+COUNTIF(C6:AF6,"P+10")*10+COUNTIF(C6:AF6,"H+10")*10</f>
        <v>4</v>
      </c>
      <c r="AJ6" s="9">
        <f t="shared" ref="AJ6:AJ20" si="2">ROUND(AG6*B6+AI6*(B6/8),0)</f>
        <v>300</v>
      </c>
      <c r="AK6" s="23">
        <f t="shared" ref="AK6:AK20" si="3">AH6*B6+AJ6</f>
        <v>12900</v>
      </c>
      <c r="AL6" s="21" t="e" cm="1" vm="1">
        <f t="array" aca="1" ref="AL6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"&amp;A6&amp;CHAR(10)&amp;"Month: "&amp;TEXT(C$4,"mmmm yyyy")&amp;CHAR(10)&amp;CHAR(10)&amp;_xlfn.TEXTJOIN(CHAR(10),TRUE,IF(C$4:AG$4&lt;&gt;"",TEXT(C$4:AG$4,"dd-mm-yyyy")&amp;" : "&amp;C6:AG6,""))&amp;CHAR(10)&amp;CHAR(10)&amp;"Total Present: "&amp;COUNTIF(C6:AG6,"P*")&amp;" Days"&amp;CHAR(10)&amp;"Total Half Day: "&amp;COUNTIF(C6:AG6,"H")&amp;" Days"&amp;CHAR(10)&amp;"Total OT Wage: Rs "&amp;AJ6&amp;CHAR(10)&amp;"Monthly Wage: Rs "&amp;AK6," ","%20"),CHAR(10),"%0A"))</f>
        <v>#VALUE!</v>
      </c>
    </row>
    <row r="7" spans="1:38" ht="15.6" customHeight="1" x14ac:dyDescent="0.2">
      <c r="A7" s="8" t="s">
        <v>12</v>
      </c>
      <c r="B7" s="8">
        <v>520</v>
      </c>
      <c r="C7" s="8" t="s">
        <v>9</v>
      </c>
      <c r="D7" s="8" t="s">
        <v>8</v>
      </c>
      <c r="E7" s="8" t="s">
        <v>9</v>
      </c>
      <c r="F7" s="8" t="s">
        <v>41</v>
      </c>
      <c r="G7" s="8" t="s">
        <v>9</v>
      </c>
      <c r="H7" s="8" t="s">
        <v>41</v>
      </c>
      <c r="I7" s="8" t="s">
        <v>9</v>
      </c>
      <c r="J7" s="8" t="s">
        <v>8</v>
      </c>
      <c r="K7" s="8" t="s">
        <v>10</v>
      </c>
      <c r="L7" s="8" t="s">
        <v>42</v>
      </c>
      <c r="M7" s="8" t="s">
        <v>8</v>
      </c>
      <c r="N7" s="8" t="s">
        <v>9</v>
      </c>
      <c r="O7" s="8" t="s">
        <v>10</v>
      </c>
      <c r="P7" s="8" t="s">
        <v>9</v>
      </c>
      <c r="Q7" s="8" t="s">
        <v>9</v>
      </c>
      <c r="R7" s="8" t="s">
        <v>9</v>
      </c>
      <c r="S7" s="8" t="s">
        <v>9</v>
      </c>
      <c r="T7" s="8" t="s">
        <v>9</v>
      </c>
      <c r="U7" s="8" t="s">
        <v>10</v>
      </c>
      <c r="V7" s="8" t="s">
        <v>41</v>
      </c>
      <c r="W7" s="8" t="s">
        <v>9</v>
      </c>
      <c r="X7" s="8" t="s">
        <v>9</v>
      </c>
      <c r="Y7" s="8" t="s">
        <v>9</v>
      </c>
      <c r="Z7" s="8" t="s">
        <v>9</v>
      </c>
      <c r="AA7" s="8" t="s">
        <v>9</v>
      </c>
      <c r="AB7" s="8" t="s">
        <v>9</v>
      </c>
      <c r="AC7" s="8"/>
      <c r="AD7" s="8"/>
      <c r="AE7" s="8"/>
      <c r="AF7" s="8"/>
      <c r="AG7" s="8"/>
      <c r="AH7" s="8">
        <f t="shared" si="0"/>
        <v>19</v>
      </c>
      <c r="AI7" s="9">
        <f t="shared" si="1"/>
        <v>3</v>
      </c>
      <c r="AJ7" s="9">
        <f t="shared" si="2"/>
        <v>195</v>
      </c>
      <c r="AK7" s="23">
        <f t="shared" si="3"/>
        <v>10075</v>
      </c>
      <c r="AL7" s="21" t="e" cm="1" vm="1">
        <f t="array" aca="1" ref="AL7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"&amp;A7&amp;CHAR(10)&amp;"Month: "&amp;TEXT(C$4,"mmmm yyyy")&amp;CHAR(10)&amp;CHAR(10)&amp;_xlfn.TEXTJOIN(CHAR(10),TRUE,IF(C$4:AG$4&lt;&gt;"",TEXT(C$4:AG$4,"dd-mm-yyyy")&amp;" : "&amp;C7:AG7,""))&amp;CHAR(10)&amp;CHAR(10)&amp;"Total Present: "&amp;COUNTIF(C7:AG7,"P*")&amp;" Days"&amp;CHAR(10)&amp;"Total Half Day: "&amp;COUNTIF(C7:AG7,"H")&amp;" Days"&amp;CHAR(10)&amp;"Total OT Wage: Rs "&amp;AJ7&amp;CHAR(10)&amp;"Monthly Wage: Rs "&amp;AK7," ","%20"),CHAR(10),"%0A"))</f>
        <v>#VALUE!</v>
      </c>
    </row>
    <row r="8" spans="1:38" ht="15.6" customHeight="1" x14ac:dyDescent="0.2">
      <c r="A8" s="8" t="s">
        <v>13</v>
      </c>
      <c r="B8" s="8">
        <v>550</v>
      </c>
      <c r="C8" s="8" t="s">
        <v>14</v>
      </c>
      <c r="D8" s="8" t="s">
        <v>8</v>
      </c>
      <c r="E8" s="8" t="s">
        <v>9</v>
      </c>
      <c r="F8" s="8" t="s">
        <v>41</v>
      </c>
      <c r="G8" s="8" t="s">
        <v>9</v>
      </c>
      <c r="H8" s="8" t="s">
        <v>41</v>
      </c>
      <c r="I8" s="8" t="s">
        <v>9</v>
      </c>
      <c r="J8" s="8" t="s">
        <v>8</v>
      </c>
      <c r="K8" s="8" t="s">
        <v>8</v>
      </c>
      <c r="L8" s="8" t="s">
        <v>42</v>
      </c>
      <c r="M8" s="8" t="s">
        <v>10</v>
      </c>
      <c r="N8" s="8" t="s">
        <v>9</v>
      </c>
      <c r="O8" s="8" t="s">
        <v>10</v>
      </c>
      <c r="P8" s="8" t="s">
        <v>9</v>
      </c>
      <c r="Q8" s="8" t="s">
        <v>9</v>
      </c>
      <c r="R8" s="8" t="s">
        <v>10</v>
      </c>
      <c r="S8" s="8" t="s">
        <v>10</v>
      </c>
      <c r="T8" s="8" t="s">
        <v>9</v>
      </c>
      <c r="U8" s="8" t="s">
        <v>9</v>
      </c>
      <c r="V8" s="8" t="s">
        <v>41</v>
      </c>
      <c r="W8" s="8" t="s">
        <v>9</v>
      </c>
      <c r="X8" s="8" t="s">
        <v>9</v>
      </c>
      <c r="Y8" s="8" t="s">
        <v>9</v>
      </c>
      <c r="Z8" s="8" t="s">
        <v>9</v>
      </c>
      <c r="AA8" s="8" t="s">
        <v>9</v>
      </c>
      <c r="AB8" s="8" t="s">
        <v>9</v>
      </c>
      <c r="AC8" s="8"/>
      <c r="AD8" s="8"/>
      <c r="AE8" s="8"/>
      <c r="AF8" s="8"/>
      <c r="AG8" s="8"/>
      <c r="AH8" s="8">
        <f t="shared" si="0"/>
        <v>17</v>
      </c>
      <c r="AI8" s="9">
        <f t="shared" si="1"/>
        <v>3</v>
      </c>
      <c r="AJ8" s="9">
        <f t="shared" si="2"/>
        <v>206</v>
      </c>
      <c r="AK8" s="23">
        <f t="shared" si="3"/>
        <v>9556</v>
      </c>
      <c r="AL8" s="21" t="e" cm="1" vm="1">
        <f t="array" aca="1" ref="AL8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"&amp;A8&amp;CHAR(10)&amp;"Month: "&amp;TEXT(C$4,"mmmm yyyy")&amp;CHAR(10)&amp;CHAR(10)&amp;_xlfn.TEXTJOIN(CHAR(10),TRUE,IF(C$4:AG$4&lt;&gt;"",TEXT(C$4:AG$4,"dd-mm-yyyy")&amp;" : "&amp;C8:AG8,""))&amp;CHAR(10)&amp;CHAR(10)&amp;"Total Present: "&amp;COUNTIF(C8:AG8,"P*")&amp;" Days"&amp;CHAR(10)&amp;"Total Half Day: "&amp;COUNTIF(C8:AG8,"H")&amp;" Days"&amp;CHAR(10)&amp;"Total OT Wage: Rs "&amp;AJ8&amp;CHAR(10)&amp;"Monthly Wage: Rs "&amp;AK8," ","%20"),CHAR(10),"%0A"))</f>
        <v>#VALUE!</v>
      </c>
    </row>
    <row r="9" spans="1:38" ht="15.6" customHeight="1" x14ac:dyDescent="0.2">
      <c r="A9" s="8" t="s">
        <v>15</v>
      </c>
      <c r="B9" s="8">
        <v>550</v>
      </c>
      <c r="C9" s="8" t="s">
        <v>14</v>
      </c>
      <c r="D9" s="8" t="s">
        <v>8</v>
      </c>
      <c r="E9" s="8" t="s">
        <v>9</v>
      </c>
      <c r="F9" s="8" t="s">
        <v>41</v>
      </c>
      <c r="G9" s="8" t="s">
        <v>9</v>
      </c>
      <c r="H9" s="8" t="s">
        <v>41</v>
      </c>
      <c r="I9" s="8" t="s">
        <v>10</v>
      </c>
      <c r="J9" s="8" t="s">
        <v>8</v>
      </c>
      <c r="K9" s="8" t="s">
        <v>9</v>
      </c>
      <c r="L9" s="8" t="s">
        <v>42</v>
      </c>
      <c r="M9" s="8" t="s">
        <v>8</v>
      </c>
      <c r="N9" s="8" t="s">
        <v>10</v>
      </c>
      <c r="O9" s="8" t="s">
        <v>10</v>
      </c>
      <c r="P9" s="8" t="s">
        <v>9</v>
      </c>
      <c r="Q9" s="8" t="s">
        <v>9</v>
      </c>
      <c r="R9" s="8" t="s">
        <v>9</v>
      </c>
      <c r="S9" s="8" t="s">
        <v>9</v>
      </c>
      <c r="T9" s="8" t="s">
        <v>10</v>
      </c>
      <c r="U9" s="8" t="s">
        <v>9</v>
      </c>
      <c r="V9" s="8" t="s">
        <v>41</v>
      </c>
      <c r="W9" s="8" t="s">
        <v>9</v>
      </c>
      <c r="X9" s="8" t="s">
        <v>9</v>
      </c>
      <c r="Y9" s="8" t="s">
        <v>10</v>
      </c>
      <c r="Z9" s="8" t="s">
        <v>9</v>
      </c>
      <c r="AA9" s="8" t="s">
        <v>9</v>
      </c>
      <c r="AB9" s="8" t="s">
        <v>9</v>
      </c>
      <c r="AC9" s="8"/>
      <c r="AD9" s="8"/>
      <c r="AE9" s="8"/>
      <c r="AF9" s="8"/>
      <c r="AG9" s="8"/>
      <c r="AH9" s="8">
        <f t="shared" si="0"/>
        <v>16</v>
      </c>
      <c r="AI9" s="9">
        <f t="shared" si="1"/>
        <v>3</v>
      </c>
      <c r="AJ9" s="9">
        <f t="shared" si="2"/>
        <v>206</v>
      </c>
      <c r="AK9" s="23">
        <f t="shared" si="3"/>
        <v>9006</v>
      </c>
      <c r="AL9" s="21" t="e" cm="1" vm="1">
        <f t="array" aca="1" ref="AL9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"&amp;A9&amp;CHAR(10)&amp;"Month: "&amp;TEXT(C$4,"mmmm yyyy")&amp;CHAR(10)&amp;CHAR(10)&amp;_xlfn.TEXTJOIN(CHAR(10),TRUE,IF(C$4:AG$4&lt;&gt;"",TEXT(C$4:AG$4,"dd-mm-yyyy")&amp;" : "&amp;C9:AG9,""))&amp;CHAR(10)&amp;CHAR(10)&amp;"Total Present: "&amp;COUNTIF(C9:AG9,"P*")&amp;" Days"&amp;CHAR(10)&amp;"Total Half Day: "&amp;COUNTIF(C9:AG9,"H")&amp;" Days"&amp;CHAR(10)&amp;"Total OT Wage: Rs "&amp;AJ9&amp;CHAR(10)&amp;"Monthly Wage: Rs "&amp;AK9," ","%20"),CHAR(10),"%0A"))</f>
        <v>#VALUE!</v>
      </c>
    </row>
    <row r="10" spans="1:38" ht="15.6" customHeight="1" x14ac:dyDescent="0.2">
      <c r="A10" s="8" t="s">
        <v>16</v>
      </c>
      <c r="B10" s="8">
        <v>480</v>
      </c>
      <c r="C10" s="8" t="s">
        <v>14</v>
      </c>
      <c r="D10" s="8" t="s">
        <v>9</v>
      </c>
      <c r="E10" s="8" t="s">
        <v>9</v>
      </c>
      <c r="F10" s="8" t="s">
        <v>41</v>
      </c>
      <c r="G10" s="8" t="s">
        <v>10</v>
      </c>
      <c r="H10" s="8" t="s">
        <v>41</v>
      </c>
      <c r="I10" s="8" t="s">
        <v>10</v>
      </c>
      <c r="J10" s="8" t="s">
        <v>10</v>
      </c>
      <c r="K10" s="8" t="s">
        <v>9</v>
      </c>
      <c r="L10" s="8" t="s">
        <v>42</v>
      </c>
      <c r="M10" s="8" t="s">
        <v>7</v>
      </c>
      <c r="N10" s="8" t="s">
        <v>9</v>
      </c>
      <c r="O10" s="8" t="s">
        <v>9</v>
      </c>
      <c r="P10" s="8" t="s">
        <v>10</v>
      </c>
      <c r="Q10" s="8" t="s">
        <v>9</v>
      </c>
      <c r="R10" s="8" t="s">
        <v>9</v>
      </c>
      <c r="S10" s="8" t="s">
        <v>9</v>
      </c>
      <c r="T10" s="8" t="s">
        <v>10</v>
      </c>
      <c r="U10" s="8" t="s">
        <v>9</v>
      </c>
      <c r="V10" s="8" t="s">
        <v>41</v>
      </c>
      <c r="W10" s="8" t="s">
        <v>10</v>
      </c>
      <c r="X10" s="8" t="s">
        <v>9</v>
      </c>
      <c r="Y10" s="8" t="s">
        <v>10</v>
      </c>
      <c r="Z10" s="8" t="s">
        <v>9</v>
      </c>
      <c r="AA10" s="8" t="s">
        <v>9</v>
      </c>
      <c r="AB10" s="8" t="s">
        <v>9</v>
      </c>
      <c r="AC10" s="8"/>
      <c r="AD10" s="8"/>
      <c r="AE10" s="8"/>
      <c r="AF10" s="8"/>
      <c r="AG10" s="8"/>
      <c r="AH10" s="8">
        <f t="shared" si="0"/>
        <v>13.5</v>
      </c>
      <c r="AI10" s="9">
        <f t="shared" si="1"/>
        <v>0</v>
      </c>
      <c r="AJ10" s="9">
        <f t="shared" si="2"/>
        <v>0</v>
      </c>
      <c r="AK10" s="23">
        <f t="shared" si="3"/>
        <v>6480</v>
      </c>
      <c r="AL10" s="21" t="e" cm="1" vm="1">
        <f t="array" aca="1" ref="AL10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"&amp;A10&amp;CHAR(10)&amp;"Month: "&amp;TEXT(C$4,"mmmm yyyy")&amp;CHAR(10)&amp;CHAR(10)&amp;_xlfn.TEXTJOIN(CHAR(10),TRUE,IF(C$4:AG$4&lt;&gt;"",TEXT(C$4:AG$4,"dd-mm-yyyy")&amp;" : "&amp;C10:AG10,""))&amp;CHAR(10)&amp;CHAR(10)&amp;"Total Present: "&amp;COUNTIF(C10:AG10,"P*")&amp;" Days"&amp;CHAR(10)&amp;"Total Half Day: "&amp;COUNTIF(C10:AG10,"H")&amp;" Days"&amp;CHAR(10)&amp;"Total OT Wage: Rs "&amp;AJ10&amp;CHAR(10)&amp;"Monthly Wage: Rs "&amp;AK10," ","%20"),CHAR(10),"%0A"))</f>
        <v>#VALUE!</v>
      </c>
    </row>
    <row r="11" spans="1:38" ht="15.6" customHeight="1" x14ac:dyDescent="0.2">
      <c r="A11" s="8" t="s">
        <v>17</v>
      </c>
      <c r="B11" s="8">
        <v>470</v>
      </c>
      <c r="C11" s="8" t="s">
        <v>9</v>
      </c>
      <c r="D11" s="8" t="s">
        <v>9</v>
      </c>
      <c r="E11" s="8" t="s">
        <v>9</v>
      </c>
      <c r="F11" s="8" t="s">
        <v>41</v>
      </c>
      <c r="G11" s="8" t="s">
        <v>10</v>
      </c>
      <c r="H11" s="8" t="s">
        <v>41</v>
      </c>
      <c r="I11" s="8" t="s">
        <v>9</v>
      </c>
      <c r="J11" s="8" t="s">
        <v>9</v>
      </c>
      <c r="K11" s="8" t="s">
        <v>10</v>
      </c>
      <c r="L11" s="8" t="s">
        <v>42</v>
      </c>
      <c r="M11" s="8" t="s">
        <v>9</v>
      </c>
      <c r="N11" s="8" t="s">
        <v>9</v>
      </c>
      <c r="O11" s="8" t="s">
        <v>9</v>
      </c>
      <c r="P11" s="8" t="s">
        <v>9</v>
      </c>
      <c r="Q11" s="8" t="s">
        <v>10</v>
      </c>
      <c r="R11" s="8" t="s">
        <v>9</v>
      </c>
      <c r="S11" s="8" t="s">
        <v>9</v>
      </c>
      <c r="T11" s="8" t="s">
        <v>9</v>
      </c>
      <c r="U11" s="8" t="s">
        <v>9</v>
      </c>
      <c r="V11" s="8" t="s">
        <v>41</v>
      </c>
      <c r="W11" s="8" t="s">
        <v>10</v>
      </c>
      <c r="X11" s="8" t="s">
        <v>10</v>
      </c>
      <c r="Y11" s="8" t="s">
        <v>9</v>
      </c>
      <c r="Z11" s="8" t="s">
        <v>9</v>
      </c>
      <c r="AA11" s="8" t="s">
        <v>10</v>
      </c>
      <c r="AB11" s="8" t="s">
        <v>9</v>
      </c>
      <c r="AC11" s="8"/>
      <c r="AD11" s="8"/>
      <c r="AE11" s="8"/>
      <c r="AF11" s="8"/>
      <c r="AG11" s="8"/>
      <c r="AH11" s="8">
        <f t="shared" si="0"/>
        <v>16</v>
      </c>
      <c r="AI11" s="9">
        <f t="shared" si="1"/>
        <v>0</v>
      </c>
      <c r="AJ11" s="9">
        <f t="shared" si="2"/>
        <v>0</v>
      </c>
      <c r="AK11" s="23">
        <f t="shared" si="3"/>
        <v>7520</v>
      </c>
      <c r="AL11" s="21" t="e" cm="1" vm="1">
        <f t="array" aca="1" ref="AL11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"&amp;A11&amp;CHAR(10)&amp;"Month: "&amp;TEXT(C$4,"mmmm yyyy")&amp;CHAR(10)&amp;CHAR(10)&amp;_xlfn.TEXTJOIN(CHAR(10),TRUE,IF(C$4:AG$4&lt;&gt;"",TEXT(C$4:AG$4,"dd-mm-yyyy")&amp;" : "&amp;C11:AG11,""))&amp;CHAR(10)&amp;CHAR(10)&amp;"Total Present: "&amp;COUNTIF(C11:AG11,"P*")&amp;" Days"&amp;CHAR(10)&amp;"Total Half Day: "&amp;COUNTIF(C11:AG11,"H")&amp;" Days"&amp;CHAR(10)&amp;"Total OT Wage: Rs "&amp;AJ11&amp;CHAR(10)&amp;"Monthly Wage: Rs "&amp;AK11," ","%20"),CHAR(10),"%0A"))</f>
        <v>#VALUE!</v>
      </c>
    </row>
    <row r="12" spans="1:38" ht="15.6" customHeight="1" x14ac:dyDescent="0.2">
      <c r="A12" s="8" t="s">
        <v>18</v>
      </c>
      <c r="B12" s="8">
        <v>450</v>
      </c>
      <c r="C12" s="8" t="s">
        <v>9</v>
      </c>
      <c r="D12" s="8" t="s">
        <v>10</v>
      </c>
      <c r="E12" s="8" t="s">
        <v>9</v>
      </c>
      <c r="F12" s="8" t="s">
        <v>41</v>
      </c>
      <c r="G12" s="8" t="s">
        <v>10</v>
      </c>
      <c r="H12" s="8" t="s">
        <v>41</v>
      </c>
      <c r="I12" s="8" t="s">
        <v>9</v>
      </c>
      <c r="J12" s="8" t="s">
        <v>9</v>
      </c>
      <c r="K12" s="8" t="s">
        <v>9</v>
      </c>
      <c r="L12" s="8" t="s">
        <v>42</v>
      </c>
      <c r="M12" s="8" t="s">
        <v>9</v>
      </c>
      <c r="N12" s="8" t="s">
        <v>10</v>
      </c>
      <c r="O12" s="8" t="s">
        <v>10</v>
      </c>
      <c r="P12" s="8" t="s">
        <v>9</v>
      </c>
      <c r="Q12" s="8" t="s">
        <v>10</v>
      </c>
      <c r="R12" s="8" t="s">
        <v>9</v>
      </c>
      <c r="S12" s="8" t="s">
        <v>9</v>
      </c>
      <c r="T12" s="8" t="s">
        <v>9</v>
      </c>
      <c r="U12" s="8" t="s">
        <v>9</v>
      </c>
      <c r="V12" s="8" t="s">
        <v>41</v>
      </c>
      <c r="W12" s="8" t="s">
        <v>9</v>
      </c>
      <c r="X12" s="8" t="s">
        <v>10</v>
      </c>
      <c r="Y12" s="8" t="s">
        <v>9</v>
      </c>
      <c r="Z12" s="8" t="s">
        <v>9</v>
      </c>
      <c r="AA12" s="8" t="s">
        <v>10</v>
      </c>
      <c r="AB12" s="8" t="s">
        <v>9</v>
      </c>
      <c r="AC12" s="8"/>
      <c r="AD12" s="8"/>
      <c r="AE12" s="8"/>
      <c r="AF12" s="8"/>
      <c r="AG12" s="8"/>
      <c r="AH12" s="8">
        <f t="shared" si="0"/>
        <v>15</v>
      </c>
      <c r="AI12" s="9">
        <f t="shared" si="1"/>
        <v>0</v>
      </c>
      <c r="AJ12" s="9">
        <f t="shared" si="2"/>
        <v>0</v>
      </c>
      <c r="AK12" s="23">
        <f t="shared" si="3"/>
        <v>6750</v>
      </c>
      <c r="AL12" s="21" t="e" cm="1" vm="1">
        <f t="array" aca="1" ref="AL12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"&amp;A12&amp;CHAR(10)&amp;"Month: "&amp;TEXT(C$4,"mmmm yyyy")&amp;CHAR(10)&amp;CHAR(10)&amp;_xlfn.TEXTJOIN(CHAR(10),TRUE,IF(C$4:AG$4&lt;&gt;"",TEXT(C$4:AG$4,"dd-mm-yyyy")&amp;" : "&amp;C12:AG12,""))&amp;CHAR(10)&amp;CHAR(10)&amp;"Total Present: "&amp;COUNTIF(C12:AG12,"P*")&amp;" Days"&amp;CHAR(10)&amp;"Total Half Day: "&amp;COUNTIF(C12:AG12,"H")&amp;" Days"&amp;CHAR(10)&amp;"Total OT Wage: Rs "&amp;AJ12&amp;CHAR(10)&amp;"Monthly Wage: Rs "&amp;AK12," ","%20"),CHAR(10),"%0A"))</f>
        <v>#VALUE!</v>
      </c>
    </row>
    <row r="13" spans="1:38" ht="15.6" customHeight="1" x14ac:dyDescent="0.2">
      <c r="A13" s="8" t="s">
        <v>19</v>
      </c>
      <c r="B13" s="8">
        <v>700</v>
      </c>
      <c r="C13" s="8" t="s">
        <v>14</v>
      </c>
      <c r="D13" s="8" t="s">
        <v>10</v>
      </c>
      <c r="E13" s="8" t="s">
        <v>10</v>
      </c>
      <c r="F13" s="8" t="s">
        <v>41</v>
      </c>
      <c r="G13" s="8" t="s">
        <v>10</v>
      </c>
      <c r="H13" s="8" t="s">
        <v>41</v>
      </c>
      <c r="I13" s="8" t="s">
        <v>10</v>
      </c>
      <c r="J13" s="8" t="s">
        <v>10</v>
      </c>
      <c r="K13" s="8" t="s">
        <v>10</v>
      </c>
      <c r="L13" s="8" t="s">
        <v>42</v>
      </c>
      <c r="M13" s="8" t="s">
        <v>10</v>
      </c>
      <c r="N13" s="8" t="s">
        <v>10</v>
      </c>
      <c r="O13" s="8" t="s">
        <v>10</v>
      </c>
      <c r="P13" s="8" t="s">
        <v>10</v>
      </c>
      <c r="Q13" s="8" t="s">
        <v>10</v>
      </c>
      <c r="R13" s="8" t="s">
        <v>10</v>
      </c>
      <c r="S13" s="8" t="s">
        <v>10</v>
      </c>
      <c r="T13" s="8" t="s">
        <v>10</v>
      </c>
      <c r="U13" s="8" t="s">
        <v>10</v>
      </c>
      <c r="V13" s="8" t="s">
        <v>41</v>
      </c>
      <c r="W13" s="8" t="s">
        <v>10</v>
      </c>
      <c r="X13" s="8" t="s">
        <v>10</v>
      </c>
      <c r="Y13" s="8" t="s">
        <v>10</v>
      </c>
      <c r="Z13" s="8" t="s">
        <v>10</v>
      </c>
      <c r="AA13" s="8" t="s">
        <v>10</v>
      </c>
      <c r="AB13" s="8" t="s">
        <v>10</v>
      </c>
      <c r="AC13" s="8"/>
      <c r="AD13" s="8"/>
      <c r="AE13" s="8"/>
      <c r="AF13" s="8"/>
      <c r="AG13" s="8"/>
      <c r="AH13" s="8">
        <f t="shared" si="0"/>
        <v>0</v>
      </c>
      <c r="AI13" s="9">
        <f t="shared" si="1"/>
        <v>0</v>
      </c>
      <c r="AJ13" s="9">
        <f t="shared" si="2"/>
        <v>0</v>
      </c>
      <c r="AK13" s="23">
        <f t="shared" si="3"/>
        <v>0</v>
      </c>
      <c r="AL13" s="21" t="e" cm="1" vm="1">
        <f t="array" aca="1" ref="AL13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"&amp;A13&amp;CHAR(10)&amp;"Month: "&amp;TEXT(C$4,"mmmm yyyy")&amp;CHAR(10)&amp;CHAR(10)&amp;_xlfn.TEXTJOIN(CHAR(10),TRUE,IF(C$4:AG$4&lt;&gt;"",TEXT(C$4:AG$4,"dd-mm-yyyy")&amp;" : "&amp;C13:AG13,""))&amp;CHAR(10)&amp;CHAR(10)&amp;"Total Present: "&amp;COUNTIF(C13:AG13,"P*")&amp;" Days"&amp;CHAR(10)&amp;"Total Half Day: "&amp;COUNTIF(C13:AG13,"H")&amp;" Days"&amp;CHAR(10)&amp;"Total OT Wage: Rs "&amp;AJ13&amp;CHAR(10)&amp;"Monthly Wage: Rs "&amp;AK13," ","%20"),CHAR(10),"%0A"))</f>
        <v>#VALUE!</v>
      </c>
    </row>
    <row r="14" spans="1:38" ht="15.6" customHeight="1" x14ac:dyDescent="0.2">
      <c r="A14" s="8" t="s">
        <v>20</v>
      </c>
      <c r="B14" s="8">
        <v>450</v>
      </c>
      <c r="C14" s="8" t="s">
        <v>9</v>
      </c>
      <c r="D14" s="8" t="s">
        <v>9</v>
      </c>
      <c r="E14" s="8" t="s">
        <v>10</v>
      </c>
      <c r="F14" s="8" t="s">
        <v>41</v>
      </c>
      <c r="G14" s="8" t="s">
        <v>10</v>
      </c>
      <c r="H14" s="8" t="s">
        <v>41</v>
      </c>
      <c r="I14" s="8" t="s">
        <v>9</v>
      </c>
      <c r="J14" s="8" t="s">
        <v>10</v>
      </c>
      <c r="K14" s="8" t="s">
        <v>9</v>
      </c>
      <c r="L14" s="8" t="s">
        <v>42</v>
      </c>
      <c r="M14" s="8" t="s">
        <v>10</v>
      </c>
      <c r="N14" s="8" t="s">
        <v>9</v>
      </c>
      <c r="O14" s="8" t="s">
        <v>9</v>
      </c>
      <c r="P14" s="8" t="s">
        <v>9</v>
      </c>
      <c r="Q14" s="8" t="s">
        <v>9</v>
      </c>
      <c r="R14" s="8" t="s">
        <v>9</v>
      </c>
      <c r="S14" s="8" t="s">
        <v>10</v>
      </c>
      <c r="T14" s="8" t="s">
        <v>9</v>
      </c>
      <c r="U14" s="8" t="s">
        <v>9</v>
      </c>
      <c r="V14" s="8" t="s">
        <v>41</v>
      </c>
      <c r="W14" s="8" t="s">
        <v>9</v>
      </c>
      <c r="X14" s="8" t="s">
        <v>9</v>
      </c>
      <c r="Y14" s="8" t="s">
        <v>9</v>
      </c>
      <c r="Z14" s="8" t="s">
        <v>7</v>
      </c>
      <c r="AA14" s="8" t="s">
        <v>10</v>
      </c>
      <c r="AB14" s="8" t="s">
        <v>9</v>
      </c>
      <c r="AC14" s="8"/>
      <c r="AD14" s="8"/>
      <c r="AE14" s="8"/>
      <c r="AF14" s="8"/>
      <c r="AG14" s="8"/>
      <c r="AH14" s="8">
        <f t="shared" si="0"/>
        <v>15.5</v>
      </c>
      <c r="AI14" s="9">
        <f t="shared" si="1"/>
        <v>0</v>
      </c>
      <c r="AJ14" s="9">
        <f t="shared" si="2"/>
        <v>0</v>
      </c>
      <c r="AK14" s="23">
        <f t="shared" si="3"/>
        <v>6975</v>
      </c>
      <c r="AL14" s="21" t="e" cm="1" vm="1">
        <f t="array" aca="1" ref="AL14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"&amp;A14&amp;CHAR(10)&amp;"Month: "&amp;TEXT(C$4,"mmmm yyyy")&amp;CHAR(10)&amp;CHAR(10)&amp;_xlfn.TEXTJOIN(CHAR(10),TRUE,IF(C$4:AG$4&lt;&gt;"",TEXT(C$4:AG$4,"dd-mm-yyyy")&amp;" : "&amp;C14:AG14,""))&amp;CHAR(10)&amp;CHAR(10)&amp;"Total Present: "&amp;COUNTIF(C14:AG14,"P*")&amp;" Days"&amp;CHAR(10)&amp;"Total Half Day: "&amp;COUNTIF(C14:AG14,"H")&amp;" Days"&amp;CHAR(10)&amp;"Total OT Wage: Rs "&amp;AJ14&amp;CHAR(10)&amp;"Monthly Wage: Rs "&amp;AK14," ","%20"),CHAR(10),"%0A"))</f>
        <v>#VALUE!</v>
      </c>
    </row>
    <row r="15" spans="1:38" ht="15.6" customHeight="1" x14ac:dyDescent="0.2">
      <c r="A15" s="8" t="s">
        <v>21</v>
      </c>
      <c r="B15" s="8">
        <v>450</v>
      </c>
      <c r="C15" s="8" t="s">
        <v>14</v>
      </c>
      <c r="D15" s="8" t="s">
        <v>8</v>
      </c>
      <c r="E15" s="8" t="s">
        <v>10</v>
      </c>
      <c r="F15" s="8" t="s">
        <v>41</v>
      </c>
      <c r="G15" s="8" t="s">
        <v>10</v>
      </c>
      <c r="H15" s="8" t="s">
        <v>41</v>
      </c>
      <c r="I15" s="8" t="s">
        <v>10</v>
      </c>
      <c r="J15" s="8" t="s">
        <v>10</v>
      </c>
      <c r="K15" s="8" t="s">
        <v>10</v>
      </c>
      <c r="L15" s="8" t="s">
        <v>42</v>
      </c>
      <c r="M15" s="8" t="s">
        <v>10</v>
      </c>
      <c r="N15" s="8" t="s">
        <v>10</v>
      </c>
      <c r="O15" s="8" t="s">
        <v>10</v>
      </c>
      <c r="P15" s="8" t="s">
        <v>10</v>
      </c>
      <c r="Q15" s="8" t="s">
        <v>10</v>
      </c>
      <c r="R15" s="8" t="s">
        <v>10</v>
      </c>
      <c r="S15" s="8" t="s">
        <v>10</v>
      </c>
      <c r="T15" s="8" t="s">
        <v>10</v>
      </c>
      <c r="U15" s="8" t="s">
        <v>10</v>
      </c>
      <c r="V15" s="8" t="s">
        <v>41</v>
      </c>
      <c r="W15" s="8" t="s">
        <v>10</v>
      </c>
      <c r="X15" s="8" t="s">
        <v>10</v>
      </c>
      <c r="Y15" s="8" t="s">
        <v>10</v>
      </c>
      <c r="Z15" s="8" t="s">
        <v>10</v>
      </c>
      <c r="AA15" s="8" t="s">
        <v>10</v>
      </c>
      <c r="AB15" s="8" t="s">
        <v>10</v>
      </c>
      <c r="AC15" s="8"/>
      <c r="AD15" s="8"/>
      <c r="AE15" s="8"/>
      <c r="AF15" s="8"/>
      <c r="AG15" s="8"/>
      <c r="AH15" s="8">
        <f t="shared" si="0"/>
        <v>1</v>
      </c>
      <c r="AI15" s="9">
        <f t="shared" si="1"/>
        <v>1</v>
      </c>
      <c r="AJ15" s="9">
        <f t="shared" si="2"/>
        <v>56</v>
      </c>
      <c r="AK15" s="23">
        <f t="shared" si="3"/>
        <v>506</v>
      </c>
      <c r="AL15" s="21" t="e" cm="1" vm="1">
        <f t="array" aca="1" ref="AL15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"&amp;A15&amp;CHAR(10)&amp;"Month: "&amp;TEXT(C$4,"mmmm yyyy")&amp;CHAR(10)&amp;CHAR(10)&amp;_xlfn.TEXTJOIN(CHAR(10),TRUE,IF(C$4:AG$4&lt;&gt;"",TEXT(C$4:AG$4,"dd-mm-yyyy")&amp;" : "&amp;C15:AG15,""))&amp;CHAR(10)&amp;CHAR(10)&amp;"Total Present: "&amp;COUNTIF(C15:AG15,"P*")&amp;" Days"&amp;CHAR(10)&amp;"Total Half Day: "&amp;COUNTIF(C15:AG15,"H")&amp;" Days"&amp;CHAR(10)&amp;"Total OT Wage: Rs "&amp;AJ15&amp;CHAR(10)&amp;"Monthly Wage: Rs "&amp;AK15," ","%20"),CHAR(10),"%0A"))</f>
        <v>#VALUE!</v>
      </c>
    </row>
    <row r="16" spans="1:38" ht="15.6" customHeight="1" x14ac:dyDescent="0.2">
      <c r="A16" s="8" t="s">
        <v>22</v>
      </c>
      <c r="B16" s="8">
        <v>460</v>
      </c>
      <c r="C16" s="8" t="s">
        <v>14</v>
      </c>
      <c r="D16" s="8" t="s">
        <v>9</v>
      </c>
      <c r="E16" s="8" t="s">
        <v>9</v>
      </c>
      <c r="F16" s="8" t="s">
        <v>41</v>
      </c>
      <c r="G16" s="8" t="s">
        <v>10</v>
      </c>
      <c r="H16" s="8" t="s">
        <v>41</v>
      </c>
      <c r="I16" s="8" t="s">
        <v>9</v>
      </c>
      <c r="J16" s="8" t="s">
        <v>10</v>
      </c>
      <c r="K16" s="8" t="s">
        <v>9</v>
      </c>
      <c r="L16" s="8" t="s">
        <v>42</v>
      </c>
      <c r="M16" s="8" t="s">
        <v>9</v>
      </c>
      <c r="N16" s="8" t="s">
        <v>10</v>
      </c>
      <c r="O16" s="8" t="s">
        <v>10</v>
      </c>
      <c r="P16" s="8" t="s">
        <v>9</v>
      </c>
      <c r="Q16" s="8" t="s">
        <v>9</v>
      </c>
      <c r="R16" s="8" t="s">
        <v>10</v>
      </c>
      <c r="S16" s="8" t="s">
        <v>10</v>
      </c>
      <c r="T16" s="8" t="s">
        <v>10</v>
      </c>
      <c r="U16" s="8" t="s">
        <v>10</v>
      </c>
      <c r="V16" s="8" t="s">
        <v>41</v>
      </c>
      <c r="W16" s="8" t="s">
        <v>10</v>
      </c>
      <c r="X16" s="8" t="s">
        <v>10</v>
      </c>
      <c r="Y16" s="8" t="s">
        <v>10</v>
      </c>
      <c r="Z16" s="8" t="s">
        <v>10</v>
      </c>
      <c r="AA16" s="8" t="s">
        <v>10</v>
      </c>
      <c r="AB16" s="8" t="s">
        <v>10</v>
      </c>
      <c r="AC16" s="8"/>
      <c r="AD16" s="8"/>
      <c r="AE16" s="8"/>
      <c r="AF16" s="8"/>
      <c r="AG16" s="8"/>
      <c r="AH16" s="8">
        <f t="shared" si="0"/>
        <v>7</v>
      </c>
      <c r="AI16" s="9">
        <f t="shared" si="1"/>
        <v>0</v>
      </c>
      <c r="AJ16" s="9">
        <f t="shared" si="2"/>
        <v>0</v>
      </c>
      <c r="AK16" s="23">
        <f t="shared" si="3"/>
        <v>3220</v>
      </c>
      <c r="AL16" s="21" t="e" cm="1" vm="1">
        <f t="array" aca="1" ref="AL16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"&amp;A16&amp;CHAR(10)&amp;"Month: "&amp;TEXT(C$4,"mmmm yyyy")&amp;CHAR(10)&amp;CHAR(10)&amp;_xlfn.TEXTJOIN(CHAR(10),TRUE,IF(C$4:AG$4&lt;&gt;"",TEXT(C$4:AG$4,"dd-mm-yyyy")&amp;" : "&amp;C16:AG16,""))&amp;CHAR(10)&amp;CHAR(10)&amp;"Total Present: "&amp;COUNTIF(C16:AG16,"P*")&amp;" Days"&amp;CHAR(10)&amp;"Total Half Day: "&amp;COUNTIF(C16:AG16,"H")&amp;" Days"&amp;CHAR(10)&amp;"Total OT Wage: Rs "&amp;AJ16&amp;CHAR(10)&amp;"Monthly Wage: Rs "&amp;AK16," ","%20"),CHAR(10),"%0A"))</f>
        <v>#VALUE!</v>
      </c>
    </row>
    <row r="17" spans="1:38" ht="15.6" customHeight="1" x14ac:dyDescent="0.2">
      <c r="A17" s="8" t="s">
        <v>23</v>
      </c>
      <c r="B17" s="8">
        <v>430</v>
      </c>
      <c r="C17" s="8" t="s">
        <v>9</v>
      </c>
      <c r="D17" s="8" t="s">
        <v>7</v>
      </c>
      <c r="E17" s="8" t="s">
        <v>9</v>
      </c>
      <c r="F17" s="8" t="s">
        <v>41</v>
      </c>
      <c r="G17" s="8" t="s">
        <v>10</v>
      </c>
      <c r="H17" s="8" t="s">
        <v>41</v>
      </c>
      <c r="I17" s="8" t="s">
        <v>9</v>
      </c>
      <c r="J17" s="8" t="s">
        <v>8</v>
      </c>
      <c r="K17" s="8" t="s">
        <v>8</v>
      </c>
      <c r="L17" s="8" t="s">
        <v>42</v>
      </c>
      <c r="M17" s="8" t="s">
        <v>10</v>
      </c>
      <c r="N17" s="8" t="s">
        <v>10</v>
      </c>
      <c r="O17" s="8" t="s">
        <v>10</v>
      </c>
      <c r="P17" s="8" t="s">
        <v>9</v>
      </c>
      <c r="Q17" s="8" t="s">
        <v>7</v>
      </c>
      <c r="R17" s="8" t="s">
        <v>9</v>
      </c>
      <c r="S17" s="8" t="s">
        <v>9</v>
      </c>
      <c r="T17" s="8" t="s">
        <v>9</v>
      </c>
      <c r="U17" s="8" t="s">
        <v>10</v>
      </c>
      <c r="V17" s="8" t="s">
        <v>41</v>
      </c>
      <c r="W17" s="8" t="s">
        <v>9</v>
      </c>
      <c r="X17" s="8" t="s">
        <v>9</v>
      </c>
      <c r="Y17" s="8" t="s">
        <v>10</v>
      </c>
      <c r="Z17" s="8" t="s">
        <v>10</v>
      </c>
      <c r="AA17" s="8" t="s">
        <v>9</v>
      </c>
      <c r="AB17" s="8" t="s">
        <v>9</v>
      </c>
      <c r="AC17" s="8"/>
      <c r="AD17" s="8"/>
      <c r="AE17" s="8"/>
      <c r="AF17" s="8"/>
      <c r="AG17" s="8"/>
      <c r="AH17" s="8">
        <f t="shared" si="0"/>
        <v>14</v>
      </c>
      <c r="AI17" s="9">
        <f t="shared" si="1"/>
        <v>2</v>
      </c>
      <c r="AJ17" s="9">
        <f t="shared" si="2"/>
        <v>108</v>
      </c>
      <c r="AK17" s="23">
        <f t="shared" si="3"/>
        <v>6128</v>
      </c>
      <c r="AL17" s="21" t="e" cm="1" vm="1">
        <f t="array" aca="1" ref="AL17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"&amp;A17&amp;CHAR(10)&amp;"Month: "&amp;TEXT(C$4,"mmmm yyyy")&amp;CHAR(10)&amp;CHAR(10)&amp;_xlfn.TEXTJOIN(CHAR(10),TRUE,IF(C$4:AG$4&lt;&gt;"",TEXT(C$4:AG$4,"dd-mm-yyyy")&amp;" : "&amp;C17:AG17,""))&amp;CHAR(10)&amp;CHAR(10)&amp;"Total Present: "&amp;COUNTIF(C17:AG17,"P*")&amp;" Days"&amp;CHAR(10)&amp;"Total Half Day: "&amp;COUNTIF(C17:AG17,"H")&amp;" Days"&amp;CHAR(10)&amp;"Total OT Wage: Rs "&amp;AJ17&amp;CHAR(10)&amp;"Monthly Wage: Rs "&amp;AK17," ","%20"),CHAR(10),"%0A"))</f>
        <v>#VALUE!</v>
      </c>
    </row>
    <row r="18" spans="1:38" ht="15.6" customHeight="1" x14ac:dyDescent="0.2">
      <c r="A18" s="8" t="s">
        <v>24</v>
      </c>
      <c r="B18" s="8">
        <v>480</v>
      </c>
      <c r="C18" s="8" t="s">
        <v>14</v>
      </c>
      <c r="D18" s="8" t="s">
        <v>9</v>
      </c>
      <c r="E18" s="8" t="s">
        <v>10</v>
      </c>
      <c r="F18" s="8" t="s">
        <v>41</v>
      </c>
      <c r="G18" s="8" t="s">
        <v>9</v>
      </c>
      <c r="H18" s="8" t="s">
        <v>41</v>
      </c>
      <c r="I18" s="8" t="s">
        <v>9</v>
      </c>
      <c r="J18" s="8" t="s">
        <v>7</v>
      </c>
      <c r="K18" s="8" t="s">
        <v>10</v>
      </c>
      <c r="L18" s="8" t="s">
        <v>42</v>
      </c>
      <c r="M18" s="8" t="s">
        <v>9</v>
      </c>
      <c r="N18" s="8" t="s">
        <v>9</v>
      </c>
      <c r="O18" s="8" t="s">
        <v>10</v>
      </c>
      <c r="P18" s="8" t="s">
        <v>9</v>
      </c>
      <c r="Q18" s="8" t="s">
        <v>9</v>
      </c>
      <c r="R18" s="8" t="s">
        <v>10</v>
      </c>
      <c r="S18" s="8" t="s">
        <v>10</v>
      </c>
      <c r="T18" s="8" t="s">
        <v>10</v>
      </c>
      <c r="U18" s="8" t="s">
        <v>9</v>
      </c>
      <c r="V18" s="8" t="s">
        <v>41</v>
      </c>
      <c r="W18" s="8" t="s">
        <v>10</v>
      </c>
      <c r="X18" s="8" t="s">
        <v>9</v>
      </c>
      <c r="Y18" s="8" t="s">
        <v>10</v>
      </c>
      <c r="Z18" s="8" t="s">
        <v>10</v>
      </c>
      <c r="AA18" s="8" t="s">
        <v>10</v>
      </c>
      <c r="AB18" s="8" t="s">
        <v>10</v>
      </c>
      <c r="AC18" s="8"/>
      <c r="AD18" s="8"/>
      <c r="AE18" s="8"/>
      <c r="AF18" s="8"/>
      <c r="AG18" s="8"/>
      <c r="AH18" s="8">
        <f t="shared" si="0"/>
        <v>9.5</v>
      </c>
      <c r="AI18" s="9">
        <f t="shared" si="1"/>
        <v>0</v>
      </c>
      <c r="AJ18" s="9">
        <f t="shared" si="2"/>
        <v>0</v>
      </c>
      <c r="AK18" s="23">
        <f t="shared" si="3"/>
        <v>4560</v>
      </c>
      <c r="AL18" s="21" t="e" cm="1" vm="1">
        <f t="array" aca="1" ref="AL18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"&amp;A18&amp;CHAR(10)&amp;"Month: "&amp;TEXT(C$4,"mmmm yyyy")&amp;CHAR(10)&amp;CHAR(10)&amp;_xlfn.TEXTJOIN(CHAR(10),TRUE,IF(C$4:AG$4&lt;&gt;"",TEXT(C$4:AG$4,"dd-mm-yyyy")&amp;" : "&amp;C18:AG18,""))&amp;CHAR(10)&amp;CHAR(10)&amp;"Total Present: "&amp;COUNTIF(C18:AG18,"P*")&amp;" Days"&amp;CHAR(10)&amp;"Total Half Day: "&amp;COUNTIF(C18:AG18,"H")&amp;" Days"&amp;CHAR(10)&amp;"Total OT Wage: Rs "&amp;AJ18&amp;CHAR(10)&amp;"Monthly Wage: Rs "&amp;AK18," ","%20"),CHAR(10),"%0A"))</f>
        <v>#VALUE!</v>
      </c>
    </row>
    <row r="19" spans="1:38" x14ac:dyDescent="0.2">
      <c r="A19" s="8" t="s">
        <v>40</v>
      </c>
      <c r="B19" s="8">
        <v>450</v>
      </c>
      <c r="C19" s="8" t="s">
        <v>9</v>
      </c>
      <c r="D19" s="8" t="s">
        <v>9</v>
      </c>
      <c r="E19" s="8" t="s">
        <v>9</v>
      </c>
      <c r="F19" s="8" t="s">
        <v>41</v>
      </c>
      <c r="G19" s="8" t="s">
        <v>9</v>
      </c>
      <c r="H19" s="8" t="s">
        <v>41</v>
      </c>
      <c r="I19" s="8" t="s">
        <v>9</v>
      </c>
      <c r="J19" s="8" t="s">
        <v>9</v>
      </c>
      <c r="K19" s="8" t="s">
        <v>9</v>
      </c>
      <c r="L19" s="8" t="s">
        <v>42</v>
      </c>
      <c r="M19" s="8" t="s">
        <v>9</v>
      </c>
      <c r="N19" s="8" t="s">
        <v>9</v>
      </c>
      <c r="O19" s="8" t="s">
        <v>9</v>
      </c>
      <c r="P19" s="8" t="s">
        <v>9</v>
      </c>
      <c r="Q19" s="8" t="s">
        <v>9</v>
      </c>
      <c r="R19" s="8" t="s">
        <v>9</v>
      </c>
      <c r="S19" s="8" t="s">
        <v>9</v>
      </c>
      <c r="T19" s="8" t="s">
        <v>10</v>
      </c>
      <c r="U19" s="8" t="s">
        <v>9</v>
      </c>
      <c r="V19" s="8" t="s">
        <v>41</v>
      </c>
      <c r="W19" s="8" t="s">
        <v>10</v>
      </c>
      <c r="X19" s="8" t="s">
        <v>10</v>
      </c>
      <c r="Y19" s="8" t="s">
        <v>10</v>
      </c>
      <c r="Z19" s="8" t="s">
        <v>9</v>
      </c>
      <c r="AA19" s="8" t="s">
        <v>9</v>
      </c>
      <c r="AB19" s="8" t="s">
        <v>9</v>
      </c>
      <c r="AC19" s="8"/>
      <c r="AD19" s="8"/>
      <c r="AE19" s="8"/>
      <c r="AF19" s="8"/>
      <c r="AG19" s="8"/>
      <c r="AH19" s="8">
        <f t="shared" si="0"/>
        <v>18</v>
      </c>
      <c r="AI19" s="9">
        <f t="shared" si="1"/>
        <v>0</v>
      </c>
      <c r="AJ19" s="9">
        <f t="shared" si="2"/>
        <v>0</v>
      </c>
      <c r="AK19" s="23">
        <f t="shared" si="3"/>
        <v>8100</v>
      </c>
      <c r="AL19" s="21" t="e" cm="1" vm="1">
        <f t="array" aca="1" ref="AL19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"&amp;A19&amp;CHAR(10)&amp;"Month: "&amp;TEXT(C$4,"mmmm yyyy")&amp;CHAR(10)&amp;CHAR(10)&amp;_xlfn.TEXTJOIN(CHAR(10),TRUE,IF(C$4:AG$4&lt;&gt;"",TEXT(C$4:AG$4,"dd-mm-yyyy")&amp;" : "&amp;C19:AG19,""))&amp;CHAR(10)&amp;CHAR(10)&amp;"Total Present: "&amp;COUNTIF(C19:AG19,"P*")&amp;" Days"&amp;CHAR(10)&amp;"Total Half Day: "&amp;COUNTIF(C19:AG19,"H")&amp;" Days"&amp;CHAR(10)&amp;"Total OT Wage: Rs "&amp;AJ19&amp;CHAR(10)&amp;"Monthly Wage: Rs "&amp;AK19," ","%20"),CHAR(10),"%0A"))</f>
        <v>#VALUE!</v>
      </c>
    </row>
    <row r="20" spans="1:38" x14ac:dyDescent="0.2">
      <c r="A20" s="8" t="s">
        <v>43</v>
      </c>
      <c r="B20" s="8">
        <v>450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 t="s">
        <v>9</v>
      </c>
      <c r="U20" s="8" t="s">
        <v>9</v>
      </c>
      <c r="V20" s="8" t="s">
        <v>41</v>
      </c>
      <c r="W20" s="8" t="s">
        <v>9</v>
      </c>
      <c r="X20" s="8" t="s">
        <v>9</v>
      </c>
      <c r="Y20" s="8" t="s">
        <v>9</v>
      </c>
      <c r="Z20" s="8" t="s">
        <v>9</v>
      </c>
      <c r="AA20" s="8" t="s">
        <v>9</v>
      </c>
      <c r="AB20" s="8" t="s">
        <v>9</v>
      </c>
      <c r="AC20" s="8"/>
      <c r="AD20" s="8"/>
      <c r="AE20" s="8"/>
      <c r="AF20" s="8"/>
      <c r="AG20" s="8"/>
      <c r="AH20" s="8">
        <f t="shared" si="0"/>
        <v>8</v>
      </c>
      <c r="AI20" s="9">
        <f t="shared" si="1"/>
        <v>0</v>
      </c>
      <c r="AJ20" s="9">
        <f t="shared" si="2"/>
        <v>0</v>
      </c>
      <c r="AK20" s="23">
        <f t="shared" si="3"/>
        <v>3600</v>
      </c>
      <c r="AL20" s="21" t="e" cm="1" vm="1">
        <f t="array" aca="1" ref="AL20" ca="1">_xlfn.IMAGE("https://quickchart.io/qr?size=10000000000000000000000000000000000000000000000000000000000000000000000&amp;text="&amp;SUBSTITUTE(SUBSTITUTE("Welcome Dear, ☺️"&amp;CHAR(10)&amp;"To The, "&amp;CHAR(10)&amp;"Ms SURINDER KUMAR"&amp;CHAR(10)&amp;"Attendance System"&amp;CHAR(10)&amp;CHAR(10)&amp;"Employee: "&amp;A20&amp;CHAR(10)&amp;"Month: "&amp;TEXT(C$4,"mmmm yyyy")&amp;CHAR(10)&amp;CHAR(10)&amp;_xlfn.TEXTJOIN(CHAR(10),TRUE,IF(C$4:AG$4&lt;&gt;"",TEXT(C$4:AG$4,"dd-mm-yyyy")&amp;" : "&amp;C20:AG20,""))&amp;CHAR(10)&amp;CHAR(10)&amp;"Total Present: "&amp;COUNTIF(C20:AG20,"P*")&amp;" Days"&amp;CHAR(10)&amp;"Total Half Day: "&amp;COUNTIF(C20:AG20,"H")&amp;" Days"&amp;CHAR(10)&amp;"Total OT Wage: Rs "&amp;AJ20&amp;CHAR(10)&amp;"Monthly Wage: Rs "&amp;AK20," ","%20"),CHAR(10),"%0A"))</f>
        <v>#VALUE!</v>
      </c>
    </row>
    <row r="21" spans="1:38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spans="1:38" x14ac:dyDescent="0.2">
      <c r="A22" s="10" t="s">
        <v>37</v>
      </c>
      <c r="B22" s="10"/>
      <c r="C22" s="10">
        <f>COUNTIF(C5:C20,"P*")+COUNTIF(C5:C20,"H*")*0.5</f>
        <v>7.5</v>
      </c>
      <c r="D22" s="10">
        <f t="shared" ref="D22:AG22" si="4">COUNTIF(D5:D20,"P*")+COUNTIF(D5:D20,"H*")*0.5</f>
        <v>12.5</v>
      </c>
      <c r="E22" s="10">
        <f t="shared" si="4"/>
        <v>11</v>
      </c>
      <c r="F22" s="10">
        <f t="shared" si="4"/>
        <v>0</v>
      </c>
      <c r="G22" s="10">
        <f t="shared" si="4"/>
        <v>6</v>
      </c>
      <c r="H22" s="10">
        <f t="shared" si="4"/>
        <v>0</v>
      </c>
      <c r="I22" s="10">
        <f t="shared" si="4"/>
        <v>11</v>
      </c>
      <c r="J22" s="10">
        <f t="shared" si="4"/>
        <v>9.5</v>
      </c>
      <c r="K22" s="10">
        <f t="shared" si="4"/>
        <v>10</v>
      </c>
      <c r="L22" s="10">
        <f t="shared" si="4"/>
        <v>0</v>
      </c>
      <c r="M22" s="10">
        <f t="shared" si="4"/>
        <v>8.5</v>
      </c>
      <c r="N22" s="10">
        <f t="shared" si="4"/>
        <v>9</v>
      </c>
      <c r="O22" s="10">
        <f t="shared" si="4"/>
        <v>6</v>
      </c>
      <c r="P22" s="10">
        <f t="shared" si="4"/>
        <v>12</v>
      </c>
      <c r="Q22" s="10">
        <f t="shared" si="4"/>
        <v>9.5</v>
      </c>
      <c r="R22" s="10">
        <f t="shared" si="4"/>
        <v>10</v>
      </c>
      <c r="S22" s="10">
        <f t="shared" si="4"/>
        <v>9</v>
      </c>
      <c r="T22" s="10">
        <f t="shared" si="4"/>
        <v>9</v>
      </c>
      <c r="U22" s="10">
        <f t="shared" si="4"/>
        <v>11</v>
      </c>
      <c r="V22" s="10">
        <f t="shared" si="4"/>
        <v>0</v>
      </c>
      <c r="W22" s="10">
        <f t="shared" si="4"/>
        <v>8</v>
      </c>
      <c r="X22" s="10">
        <f t="shared" si="4"/>
        <v>8</v>
      </c>
      <c r="Y22" s="10">
        <f t="shared" si="4"/>
        <v>7</v>
      </c>
      <c r="Z22" s="10">
        <f t="shared" si="4"/>
        <v>10.5</v>
      </c>
      <c r="AA22" s="10">
        <f t="shared" si="4"/>
        <v>9</v>
      </c>
      <c r="AB22" s="10">
        <f t="shared" si="4"/>
        <v>12</v>
      </c>
      <c r="AC22" s="10">
        <f t="shared" si="4"/>
        <v>0</v>
      </c>
      <c r="AD22" s="10">
        <f t="shared" si="4"/>
        <v>0</v>
      </c>
      <c r="AE22" s="10">
        <f t="shared" si="4"/>
        <v>0</v>
      </c>
      <c r="AF22" s="10">
        <f t="shared" si="4"/>
        <v>0</v>
      </c>
      <c r="AG22" s="10">
        <f t="shared" si="4"/>
        <v>0</v>
      </c>
      <c r="AH22" s="10"/>
      <c r="AI22" s="10"/>
      <c r="AJ22" s="10"/>
      <c r="AK22" s="10"/>
    </row>
    <row r="23" spans="1:38" x14ac:dyDescent="0.2">
      <c r="A23" s="10" t="s">
        <v>25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>
        <f>SUM(AI5:AI19)</f>
        <v>19</v>
      </c>
      <c r="AJ23" s="10"/>
      <c r="AK23" s="10"/>
    </row>
    <row r="24" spans="1:38" x14ac:dyDescent="0.2">
      <c r="A24" s="10" t="s">
        <v>26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f>SUM(AK5:AK20)</f>
        <v>104901</v>
      </c>
    </row>
    <row r="25" spans="1:38" x14ac:dyDescent="0.2">
      <c r="A25" s="11" t="s">
        <v>27</v>
      </c>
      <c r="B25" s="10"/>
      <c r="C25" s="10" cm="1">
        <f t="array" ref="C25">SUMPRODUCT((C5:C20="P")*$B$5:$B$20)+SUMPRODUCT((C5:C20="P+1")*$B$5:$B$20*9/8)+SUMPRODUCT((C5:C20="H")*$B$5:$B$20/2)</f>
        <v>3670</v>
      </c>
      <c r="D25" s="10" cm="1">
        <f t="array" ref="D25">SUMPRODUCT((D5:D20="P")*$B$5:$B$20)+SUMPRODUCT((D5:D20="P+1")*$B$5:$B$20*9/8)+SUMPRODUCT((D5:D20="H")*$B$5:$B$20/2)</f>
        <v>6683.75</v>
      </c>
      <c r="E25" s="10" cm="1">
        <f t="array" ref="E25">SUMPRODUCT((E5:E20="P")*$B$5:$B$20)+SUMPRODUCT((E5:E20="P+1")*$B$5:$B$20*9/8)+SUMPRODUCT((E5:E20="H")*$B$5:$B$20/2)</f>
        <v>5560</v>
      </c>
      <c r="F25" s="10" cm="1">
        <f t="array" ref="F25">SUMPRODUCT((F5:F20="P")*$B$5:$B$20)+SUMPRODUCT((F5:F20="P+1")*$B$5:$B$20*9/8)+SUMPRODUCT((F5:F20="H")*$B$5:$B$20/2)</f>
        <v>0</v>
      </c>
      <c r="G25" s="10" cm="1">
        <f t="array" ref="G25">SUMPRODUCT((G5:G20="P")*$B$5:$B$20)+SUMPRODUCT((G5:G20="P+1")*$B$5:$B$20*9/8)+SUMPRODUCT((G5:G20="H")*$B$5:$B$20/2)</f>
        <v>3150</v>
      </c>
      <c r="H25" s="10" cm="1">
        <f t="array" ref="H25">SUMPRODUCT((H5:H20="P")*$B$5:$B$20)+SUMPRODUCT((H5:H20="P+1")*$B$5:$B$20*9/8)+SUMPRODUCT((H5:H20="H")*$B$5:$B$20/2)</f>
        <v>0</v>
      </c>
      <c r="I25" s="10" cm="1">
        <f t="array" ref="I25">SUMPRODUCT((I5:I20="P")*$B$5:$B$20)+SUMPRODUCT((I5:I20="P+1")*$B$5:$B$20*9/8)+SUMPRODUCT((I5:I20="H")*$B$5:$B$20/2)</f>
        <v>5460</v>
      </c>
      <c r="J25" s="10" cm="1">
        <f t="array" ref="J25">SUMPRODUCT((J5:J20="P")*$B$5:$B$20)+SUMPRODUCT((J5:J20="P+1")*$B$5:$B$20*9/8)+SUMPRODUCT((J5:J20="H")*$B$5:$B$20/2)</f>
        <v>5266.25</v>
      </c>
      <c r="K25" s="10" cm="1">
        <f t="array" ref="K25">SUMPRODUCT((K5:K20="P")*$B$5:$B$20)+SUMPRODUCT((K5:K20="P+1")*$B$5:$B$20*9/8)+SUMPRODUCT((K5:K20="H")*$B$5:$B$20/2)</f>
        <v>5292.5</v>
      </c>
      <c r="L25" s="10" cm="1">
        <f t="array" ref="L25">SUMPRODUCT((L5:L20="P")*$B$5:$B$20)+SUMPRODUCT((L5:L20="P+1")*$B$5:$B$20*9/8)+SUMPRODUCT((L5:L20="H")*$B$5:$B$20/2)</f>
        <v>0</v>
      </c>
      <c r="M25" s="10" cm="1">
        <f t="array" ref="M25">SUMPRODUCT((M5:M20="P")*$B$5:$B$20)+SUMPRODUCT((M5:M20="P+1")*$B$5:$B$20*9/8)+SUMPRODUCT((M5:M20="H")*$B$5:$B$20/2)</f>
        <v>4428.75</v>
      </c>
      <c r="N25" s="10" cm="1">
        <f t="array" ref="N25">SUMPRODUCT((N5:N20="P")*$B$5:$B$20)+SUMPRODUCT((N5:N20="P+1")*$B$5:$B$20*9/8)+SUMPRODUCT((N5:N20="H")*$B$5:$B$20/2)</f>
        <v>4600</v>
      </c>
      <c r="O25" s="10" cm="1">
        <f t="array" ref="O25">SUMPRODUCT((O5:O20="P")*$B$5:$B$20)+SUMPRODUCT((O5:O20="P+1")*$B$5:$B$20*9/8)+SUMPRODUCT((O5:O20="H")*$B$5:$B$20/2)</f>
        <v>3050</v>
      </c>
      <c r="P25" s="10" cm="1">
        <f t="array" ref="P25">SUMPRODUCT((P5:P20="P")*$B$5:$B$20)+SUMPRODUCT((P5:P20="P+1")*$B$5:$B$20*9/8)+SUMPRODUCT((P5:P20="H")*$B$5:$B$20/2)</f>
        <v>6010</v>
      </c>
      <c r="Q25" s="10" cm="1">
        <f t="array" ref="Q25">SUMPRODUCT((Q5:Q20="P")*$B$5:$B$20)+SUMPRODUCT((Q5:Q20="P+1")*$B$5:$B$20*9/8)+SUMPRODUCT((Q5:Q20="H")*$B$5:$B$20/2)</f>
        <v>4755</v>
      </c>
      <c r="R25" s="10" cm="1">
        <f t="array" ref="R25">SUMPRODUCT((R5:R20="P")*$B$5:$B$20)+SUMPRODUCT((R5:R20="P+1")*$B$5:$B$20*9/8)+SUMPRODUCT((R5:R20="H")*$B$5:$B$20/2)</f>
        <v>5000</v>
      </c>
      <c r="S25" s="10" cm="1">
        <f t="array" ref="S25">SUMPRODUCT((S5:S20="P")*$B$5:$B$20)+SUMPRODUCT((S5:S20="P+1")*$B$5:$B$20*9/8)+SUMPRODUCT((S5:S20="H")*$B$5:$B$20/2)</f>
        <v>4550</v>
      </c>
      <c r="T25" s="10" cm="1">
        <f t="array" ref="T25">SUMPRODUCT((T5:T20="P")*$B$5:$B$20)+SUMPRODUCT((T5:T20="P+1")*$B$5:$B$20*9/8)+SUMPRODUCT((T5:T20="H")*$B$5:$B$20/2)</f>
        <v>4520</v>
      </c>
      <c r="U25" s="10" cm="1">
        <f t="array" ref="U25">SUMPRODUCT((U5:U20="P")*$B$5:$B$20)+SUMPRODUCT((U5:U20="P+1")*$B$5:$B$20*9/8)+SUMPRODUCT((U5:U20="H")*$B$5:$B$20/2)</f>
        <v>5530</v>
      </c>
      <c r="V25" s="10" cm="1">
        <f t="array" ref="V25">SUMPRODUCT((V5:V20="P")*$B$5:$B$20)+SUMPRODUCT((V5:V20="P+1")*$B$5:$B$20*9/8)+SUMPRODUCT((V5:V20="H")*$B$5:$B$20/2)</f>
        <v>0</v>
      </c>
      <c r="W25" s="10" cm="1">
        <f t="array" ref="W25">SUMPRODUCT((W5:W20="P")*$B$5:$B$20)+SUMPRODUCT((W5:W20="P+1")*$B$5:$B$20*9/8)+SUMPRODUCT((W5:W20="H")*$B$5:$B$20/2)</f>
        <v>4000</v>
      </c>
      <c r="X25" s="10" cm="1">
        <f t="array" ref="X25">SUMPRODUCT((X5:X20="P")*$B$5:$B$20)+SUMPRODUCT((X5:X20="P+1")*$B$5:$B$20*9/8)+SUMPRODUCT((X5:X20="H")*$B$5:$B$20/2)</f>
        <v>3910</v>
      </c>
      <c r="Y25" s="10" cm="1">
        <f t="array" ref="Y25">SUMPRODUCT((Y5:Y20="P")*$B$5:$B$20)+SUMPRODUCT((Y5:Y20="P+1")*$B$5:$B$20*9/8)+SUMPRODUCT((Y5:Y20="H")*$B$5:$B$20/2)</f>
        <v>3490</v>
      </c>
      <c r="Z25" s="10" cm="1">
        <f t="array" ref="Z25">SUMPRODUCT((Z5:Z20="P")*$B$5:$B$20)+SUMPRODUCT((Z5:Z20="P+1")*$B$5:$B$20*9/8)+SUMPRODUCT((Z5:Z20="H")*$B$5:$B$20/2)</f>
        <v>5345</v>
      </c>
      <c r="AA25" s="10" cm="1">
        <f t="array" ref="AA25">SUMPRODUCT((AA5:AA20="P")*$B$5:$B$20)+SUMPRODUCT((AA5:AA20="P+1")*$B$5:$B$20*9/8)+SUMPRODUCT((AA5:AA20="H")*$B$5:$B$20/2)</f>
        <v>4630</v>
      </c>
      <c r="AB25" s="10" cm="1">
        <f t="array" ref="AB25">SUMPRODUCT((AB5:AB20="P")*$B$5:$B$20)+SUMPRODUCT((AB5:AB20="P+1")*$B$5:$B$20*9/8)+SUMPRODUCT((AB5:AB20="H")*$B$5:$B$20/2)</f>
        <v>6000</v>
      </c>
      <c r="AC25" s="10" cm="1">
        <f t="array" ref="AC25">SUMPRODUCT((AC5:AC20="P")*$B$5:$B$20)+SUMPRODUCT((AC5:AC20="P+1")*$B$5:$B$20*9/8)+SUMPRODUCT((AC5:AC20="H")*$B$5:$B$20/2)</f>
        <v>0</v>
      </c>
      <c r="AD25" s="10" cm="1">
        <f t="array" ref="AD25">SUMPRODUCT((AD5:AD20="P")*$B$5:$B$20)+SUMPRODUCT((AD5:AD20="P+1")*$B$5:$B$20*9/8)+SUMPRODUCT((AD5:AD20="H")*$B$5:$B$20/2)</f>
        <v>0</v>
      </c>
      <c r="AE25" s="10" cm="1">
        <f t="array" ref="AE25">SUMPRODUCT((AE5:AE20="P")*$B$5:$B$20)+SUMPRODUCT((AE5:AE20="P+1")*$B$5:$B$20*9/8)+SUMPRODUCT((AE5:AE20="H")*$B$5:$B$20/2)</f>
        <v>0</v>
      </c>
      <c r="AF25" s="10" cm="1">
        <f t="array" ref="AF25">SUMPRODUCT((AF5:AF20="P")*$B$5:$B$20)+SUMPRODUCT((AF5:AF20="P+1")*$B$5:$B$20*9/8)+SUMPRODUCT((AF5:AF20="H")*$B$5:$B$20/2)</f>
        <v>0</v>
      </c>
      <c r="AG25" s="10" cm="1">
        <f t="array" ref="AG25">SUMPRODUCT((AG5:AG20="P")*$B$5:$B$20)+SUMPRODUCT((AG5:AG20="P+1")*$B$5:$B$20*9/8)+SUMPRODUCT((AG5:AG20="H")*$B$5:$B$20/2)</f>
        <v>0</v>
      </c>
      <c r="AH25" s="10"/>
      <c r="AI25" s="10"/>
      <c r="AJ25" s="10"/>
      <c r="AK25" s="10"/>
    </row>
    <row r="31" spans="1:38" x14ac:dyDescent="0.2">
      <c r="D31" s="2">
        <f>SUM(C25:AG25)</f>
        <v>104901.25</v>
      </c>
      <c r="AI31" s="6"/>
    </row>
  </sheetData>
  <mergeCells count="1">
    <mergeCell ref="A1:AK1"/>
  </mergeCells>
  <dataValidations count="2">
    <dataValidation type="list" sqref="B2" xr:uid="{00000000-0002-0000-0000-000000000000}">
      <formula1>"2024,2025,2026,2027,2028,2029,2030"</formula1>
    </dataValidation>
    <dataValidation type="list" sqref="D2" xr:uid="{00000000-0002-0000-0000-000001000000}">
      <formula1>"January,February,March,April,May,June,July,August,September,October,November,December"</formula1>
    </dataValidation>
  </dataValidations>
  <pageMargins left="0.74990626395218019" right="0.74990626395218019" top="0.99987495602585208" bottom="0.99987495602585208" header="0.49993747801292598" footer="0.49993747801292598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="42" workbookViewId="0"/>
  </sheetViews>
  <sheetFormatPr defaultColWidth="11.02734375" defaultRowHeight="15" x14ac:dyDescent="0.2"/>
  <cols>
    <col min="1" max="1" width="99.94921875" style="2" customWidth="1"/>
  </cols>
  <sheetData>
    <row r="1" spans="1:1" ht="18.75" x14ac:dyDescent="0.25">
      <c r="A1" s="4" t="s">
        <v>28</v>
      </c>
    </row>
    <row r="2" spans="1:1" ht="27.75" x14ac:dyDescent="0.2">
      <c r="A2" s="5" t="s">
        <v>29</v>
      </c>
    </row>
    <row r="3" spans="1:1" x14ac:dyDescent="0.2">
      <c r="A3" s="1" t="s">
        <v>30</v>
      </c>
    </row>
    <row r="4" spans="1:1" x14ac:dyDescent="0.2">
      <c r="A4" s="1" t="s">
        <v>31</v>
      </c>
    </row>
    <row r="5" spans="1:1" x14ac:dyDescent="0.2">
      <c r="A5" s="1" t="s">
        <v>32</v>
      </c>
    </row>
    <row r="6" spans="1:1" x14ac:dyDescent="0.2">
      <c r="A6" s="1" t="s">
        <v>33</v>
      </c>
    </row>
    <row r="7" spans="1:1" x14ac:dyDescent="0.2">
      <c r="A7" s="1" t="s">
        <v>34</v>
      </c>
    </row>
    <row r="8" spans="1:1" x14ac:dyDescent="0.2">
      <c r="A8" s="1" t="s">
        <v>35</v>
      </c>
    </row>
  </sheetData>
  <pageMargins left="0.74990626395218019" right="0.74990626395218019" top="0.99987495602585208" bottom="0.99987495602585208" header="0.49993747801292598" footer="0.49993747801292598"/>
  <pageSetup paperSize="0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 Attendance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http://purl.org/dc/elements/1.1/openpyxl</dc:creator>
  <cp:lastModifiedBy>root</cp:lastModifiedBy>
  <dcterms:created xsi:type="dcterms:W3CDTF">2026-09-03T21:36:13Z</dcterms:created>
  <dcterms:modified xsi:type="dcterms:W3CDTF">2026-09-04T14:22:45Z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a4169d39ffee467a95efa1dff13ccc07_22</vt:lpwstr>
  </property>
</Properties>
</file>